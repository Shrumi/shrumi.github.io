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20445" windowHeight="11085" activeTab="1"/>
  </bookViews>
  <sheets>
    <sheet name="Прайс" sheetId="1" r:id="rId1"/>
    <sheet name="Калькулятор" sheetId="2" r:id="rId2"/>
    <sheet name="Отчёт" sheetId="3" r:id="rId3"/>
  </sheets>
  <definedNames>
    <definedName name="КЛЮЧ">Прайс!$F$2:$F$112</definedName>
  </definedNames>
  <calcPr calcId="125725"/>
</workbook>
</file>

<file path=xl/calcChain.xml><?xml version="1.0" encoding="utf-8"?>
<calcChain xmlns="http://schemas.openxmlformats.org/spreadsheetml/2006/main">
  <c r="F48" i="1"/>
  <c r="F111"/>
  <c r="F110"/>
  <c r="F109"/>
  <c r="F108"/>
  <c r="F104"/>
  <c r="F102"/>
  <c r="F96"/>
  <c r="F95"/>
  <c r="F94"/>
  <c r="F83"/>
  <c r="F82"/>
  <c r="F81"/>
  <c r="F79"/>
  <c r="F77"/>
  <c r="F76"/>
  <c r="F74"/>
  <c r="F73"/>
  <c r="F72"/>
  <c r="F71"/>
  <c r="F70"/>
  <c r="F69"/>
  <c r="F64"/>
  <c r="F63"/>
  <c r="F62"/>
  <c r="F59"/>
  <c r="F58"/>
  <c r="F57"/>
  <c r="F55"/>
  <c r="F54"/>
  <c r="F53"/>
  <c r="F52"/>
  <c r="F51"/>
  <c r="F50"/>
  <c r="F49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4"/>
  <c r="F20" l="1"/>
  <c r="F18"/>
  <c r="F17"/>
  <c r="F16"/>
  <c r="F15"/>
  <c r="F14"/>
  <c r="F12"/>
  <c r="F11"/>
  <c r="F10"/>
  <c r="F13"/>
  <c r="F19"/>
  <c r="F21"/>
  <c r="F22"/>
  <c r="F23"/>
  <c r="F25"/>
  <c r="F60"/>
  <c r="F61"/>
  <c r="F65"/>
  <c r="F66"/>
  <c r="F67"/>
  <c r="F68"/>
  <c r="F75"/>
  <c r="F78"/>
  <c r="F80"/>
  <c r="F84"/>
  <c r="F85"/>
  <c r="F86"/>
  <c r="F87"/>
  <c r="F88"/>
  <c r="F89"/>
  <c r="F90"/>
  <c r="F91"/>
  <c r="F92"/>
  <c r="F93"/>
  <c r="F97"/>
  <c r="F98"/>
  <c r="F99"/>
  <c r="F100"/>
  <c r="F101"/>
  <c r="F103"/>
  <c r="F105"/>
  <c r="F106"/>
  <c r="F107"/>
  <c r="F9"/>
  <c r="F8"/>
  <c r="F7"/>
  <c r="F6"/>
  <c r="F5"/>
  <c r="F3"/>
  <c r="F4"/>
  <c r="F2"/>
  <c r="D3" i="2" l="1"/>
  <c r="E3" s="1"/>
  <c r="D4"/>
  <c r="E4" s="1"/>
  <c r="D5"/>
  <c r="E5" s="1"/>
  <c r="D13"/>
  <c r="E13" s="1"/>
  <c r="D6"/>
  <c r="E6" s="1"/>
  <c r="D14"/>
  <c r="E14" s="1"/>
  <c r="D8"/>
  <c r="E8" s="1"/>
  <c r="D2"/>
  <c r="E2" s="1"/>
  <c r="D7"/>
  <c r="E7" s="1"/>
  <c r="D15"/>
  <c r="E15" s="1"/>
  <c r="D16"/>
  <c r="E16" s="1"/>
  <c r="D9"/>
  <c r="E9" s="1"/>
  <c r="D10"/>
  <c r="E10" s="1"/>
  <c r="D11"/>
  <c r="E11" s="1"/>
  <c r="D12"/>
  <c r="E12" s="1"/>
</calcChain>
</file>

<file path=xl/sharedStrings.xml><?xml version="1.0" encoding="utf-8"?>
<sst xmlns="http://schemas.openxmlformats.org/spreadsheetml/2006/main" count="281" uniqueCount="156">
  <si>
    <t>НАЗВАНИЕ</t>
  </si>
  <si>
    <t>ИНФОРМАЦИЯ</t>
  </si>
  <si>
    <t>КОЛ-ВО</t>
  </si>
  <si>
    <t>ЦЕНА</t>
  </si>
  <si>
    <t>ДОП. ИНФА</t>
  </si>
  <si>
    <t>КСЕРОКС/РАСПЕЧАТКА</t>
  </si>
  <si>
    <t>-</t>
  </si>
  <si>
    <t>1 прогон</t>
  </si>
  <si>
    <t>А4</t>
  </si>
  <si>
    <t>А3</t>
  </si>
  <si>
    <t>ЦВЕТНАЯ РАСПЕЧАТКА</t>
  </si>
  <si>
    <t>СКАНИРОВАНИЕ</t>
  </si>
  <si>
    <t>1 шт</t>
  </si>
  <si>
    <t>СКАНИРОВАНИЕ ФОТО И КАДРИРОВАНИЕ ПОД РАЗМЕР</t>
  </si>
  <si>
    <t>СОХРАНЕНИЕ НА НОСИТЕЛЬ</t>
  </si>
  <si>
    <t>СКИНУТЬ ФОТО С ПОЧТЫ НА USB</t>
  </si>
  <si>
    <t>От 100 шт, за каждые 50 шт +110 Руб.</t>
  </si>
  <si>
    <t>&lt; 100 шт</t>
  </si>
  <si>
    <t>&gt; 100 шт</t>
  </si>
  <si>
    <t>ВЫХОД В ИНТЕРНЕТ</t>
  </si>
  <si>
    <t>Музыку и видео не ищем.</t>
  </si>
  <si>
    <t>КОНВЕРТИРОВАНИЕ В ДРУГОЙ ФОРМАТ</t>
  </si>
  <si>
    <t>КОПИРОВАНИЕ CD/DVD</t>
  </si>
  <si>
    <t>Если есть видео файлы.</t>
  </si>
  <si>
    <t>1 диск</t>
  </si>
  <si>
    <t>ЛАМИНИРОВАНИЕ</t>
  </si>
  <si>
    <t>Глянец</t>
  </si>
  <si>
    <t>Мат</t>
  </si>
  <si>
    <t>ОЦИФРОВКА ВИДЕО</t>
  </si>
  <si>
    <t>Большие кассеты.</t>
  </si>
  <si>
    <t>1 час</t>
  </si>
  <si>
    <t>VHS</t>
  </si>
  <si>
    <t>Маленькие кассеты.</t>
  </si>
  <si>
    <t>VHS-C</t>
  </si>
  <si>
    <t>ПРОЯВКА ФОТО ПЛЁНКИ</t>
  </si>
  <si>
    <t>Плёнка режется по 6 кадров. Клиента предупреждаем.</t>
  </si>
  <si>
    <t>ОЦИФРОВКА ФОТО ПЛЁНКИ</t>
  </si>
  <si>
    <t>1 кадр</t>
  </si>
  <si>
    <t>ДИСКИ</t>
  </si>
  <si>
    <t>CD/DVD-R</t>
  </si>
  <si>
    <t>Конверт  +11 Руб.</t>
  </si>
  <si>
    <t>CD/DVD-RW</t>
  </si>
  <si>
    <t>ЗАПИСЬ НА CD/USB</t>
  </si>
  <si>
    <t>Свыше 1Гб</t>
  </si>
  <si>
    <t>ФЛЭШКИ</t>
  </si>
  <si>
    <t>16 Гб.</t>
  </si>
  <si>
    <t>32 Гб.</t>
  </si>
  <si>
    <t>64 Гб.</t>
  </si>
  <si>
    <t>ВИЗИТКИ</t>
  </si>
  <si>
    <t>Односторонние.</t>
  </si>
  <si>
    <t>Две стороны.</t>
  </si>
  <si>
    <t>Ламинированные.</t>
  </si>
  <si>
    <t>Пластиковые.</t>
  </si>
  <si>
    <t>ФОТОМОНТАЖ/РЕТУШЬ</t>
  </si>
  <si>
    <t>Костюм, форма.</t>
  </si>
  <si>
    <t>ПЕЧАТЬ ФОТО</t>
  </si>
  <si>
    <t>10х15 глянец.</t>
  </si>
  <si>
    <t>10х15 мат.</t>
  </si>
  <si>
    <t>10х15 сатин.</t>
  </si>
  <si>
    <t>10х15 jetprint.</t>
  </si>
  <si>
    <t>15х21 гл./мат./jet.</t>
  </si>
  <si>
    <t>15х21 сатин.</t>
  </si>
  <si>
    <t>15х21 самоклей.</t>
  </si>
  <si>
    <t>21х30 гл./мат.</t>
  </si>
  <si>
    <t>21х30 сатин.</t>
  </si>
  <si>
    <t>21х30 jetprint.</t>
  </si>
  <si>
    <t>21х30 самоклей.</t>
  </si>
  <si>
    <t>30х40 гл./мат.</t>
  </si>
  <si>
    <t>Полароид</t>
  </si>
  <si>
    <t>ФОТО НА ДОКУМЕНТЫ</t>
  </si>
  <si>
    <t>3х4/3.5х4.5</t>
  </si>
  <si>
    <t>2 шт</t>
  </si>
  <si>
    <t>Каждый последующий комплект  +200 руб.</t>
  </si>
  <si>
    <t xml:space="preserve">Дополнительные </t>
  </si>
  <si>
    <t>2 шт  +70 руб.</t>
  </si>
  <si>
    <t>(кроме 9х12)</t>
  </si>
  <si>
    <t>4 шт</t>
  </si>
  <si>
    <t>6 шт</t>
  </si>
  <si>
    <t>4х6</t>
  </si>
  <si>
    <t>5х5</t>
  </si>
  <si>
    <t>9х12</t>
  </si>
  <si>
    <t>ФОТО В ЭЛ. ВИДЕ</t>
  </si>
  <si>
    <t>С распечаткой</t>
  </si>
  <si>
    <t>Без распечатки</t>
  </si>
  <si>
    <t>КАДРИРОВАНИЕ</t>
  </si>
  <si>
    <t>ИЗГОТОВЛЕНИЕ МАКЕТА</t>
  </si>
  <si>
    <t>Сложные дороже.</t>
  </si>
  <si>
    <t>3D СТИКЕР</t>
  </si>
  <si>
    <t>Прямоугольный</t>
  </si>
  <si>
    <t>Квадратный</t>
  </si>
  <si>
    <t>Большой</t>
  </si>
  <si>
    <t>ФАЙЛ</t>
  </si>
  <si>
    <t>ЧИСТЫЙ ЛИСТ А4</t>
  </si>
  <si>
    <t>ПАЧКА БУМАГИ А4</t>
  </si>
  <si>
    <t>ПАПКА СКОРОСШИВАТЕЛЬ А4 ПЛАСТ.</t>
  </si>
  <si>
    <t>ФОТО РАМКА (КАНАДСКАЯ СОСНА)</t>
  </si>
  <si>
    <t>15х21</t>
  </si>
  <si>
    <t>21х30</t>
  </si>
  <si>
    <t>ФОТО РАМКА  (БРОНЗА/СТЕКЛО)</t>
  </si>
  <si>
    <t>ФОТО РАМКА</t>
  </si>
  <si>
    <t>10х15</t>
  </si>
  <si>
    <t>РУЧКА</t>
  </si>
  <si>
    <t>Гелевая</t>
  </si>
  <si>
    <t>ПАПКА УГОЛОК</t>
  </si>
  <si>
    <t>ПАПКА НА КНОПКЕ</t>
  </si>
  <si>
    <t>А5</t>
  </si>
  <si>
    <t>КОНВЕРТ CD/DVD</t>
  </si>
  <si>
    <t>ПОЧТОВЫЙ КОНВЕРТ</t>
  </si>
  <si>
    <t>СКОТЧ</t>
  </si>
  <si>
    <t>Узкий</t>
  </si>
  <si>
    <t>Средний</t>
  </si>
  <si>
    <t>Широкий</t>
  </si>
  <si>
    <t>ФЛОМАСТЕР</t>
  </si>
  <si>
    <t>ОБЛОЖКА НА ПАСПОРТ</t>
  </si>
  <si>
    <t>ОБЛОЖКА ДИПЛОМНОЙ РАБОТЫ</t>
  </si>
  <si>
    <t>ОБЛОЖКА ДЛЯ СЪЁМНЫХ БЛОКОВ</t>
  </si>
  <si>
    <t>ПАПКА НА ЗАВЯЗКАХ (БУМАЖНАЯ)</t>
  </si>
  <si>
    <t>ТЕТРАДЬ ШКОЛЬНАЯ</t>
  </si>
  <si>
    <t>КОНВЕРТ С МАРКОЙ</t>
  </si>
  <si>
    <t>КОНВЕРТ А5</t>
  </si>
  <si>
    <t>КОНВЕРТ (ПОД БАБЛИШКО)</t>
  </si>
  <si>
    <t>ПОДАРОЧНЫЙ НАБОР</t>
  </si>
  <si>
    <t>СТЕПЛЕР (МЕТАЛ)</t>
  </si>
  <si>
    <t>Красный</t>
  </si>
  <si>
    <t>Чёрный</t>
  </si>
  <si>
    <t>ЛИНЕЙКИ</t>
  </si>
  <si>
    <t>Пластик</t>
  </si>
  <si>
    <t>СКОБЫ 24/6</t>
  </si>
  <si>
    <t>СКРЕПКИ</t>
  </si>
  <si>
    <t>ЛИП. ЗАКЛАДКИ</t>
  </si>
  <si>
    <t>КАНЦЕЛЯРСКИЙ НОЖ</t>
  </si>
  <si>
    <t>ТОЧИЛКА ДЛЯ КАРАНДАША</t>
  </si>
  <si>
    <t>КАРАНДАШИ</t>
  </si>
  <si>
    <t>Цветные</t>
  </si>
  <si>
    <t>КАНЦЕЛЯРСКИЕ ЗАЖИМЫ</t>
  </si>
  <si>
    <t>БУЛАВКИ (ФЛАЖКИ)</t>
  </si>
  <si>
    <t>КАНЦЕЛЯРСКИЕ КНОПКИ</t>
  </si>
  <si>
    <t>ОФИСНЫЕ БУЛАВКИ</t>
  </si>
  <si>
    <t>ТОВАРНЫЙ ЧЕК</t>
  </si>
  <si>
    <t>ЛИПКИЙ БЛОК</t>
  </si>
  <si>
    <t>75х75</t>
  </si>
  <si>
    <t>75х120</t>
  </si>
  <si>
    <t>ФОТОАЛЬБОМ</t>
  </si>
  <si>
    <t>36 Фото</t>
  </si>
  <si>
    <t>100 фото</t>
  </si>
  <si>
    <t>Услуга</t>
  </si>
  <si>
    <t>Кол-во</t>
  </si>
  <si>
    <t>Цена</t>
  </si>
  <si>
    <t>Сумма</t>
  </si>
  <si>
    <t>Ксерокс\распечатка</t>
  </si>
  <si>
    <t>Другое</t>
  </si>
  <si>
    <t>КЛЮЧ</t>
  </si>
  <si>
    <t>Масляная</t>
  </si>
  <si>
    <t>Примечание</t>
  </si>
  <si>
    <t>Печать фото</t>
  </si>
  <si>
    <t>Сувенирка</t>
  </si>
</sst>
</file>

<file path=xl/styles.xml><?xml version="1.0" encoding="utf-8"?>
<styleSheet xmlns="http://schemas.openxmlformats.org/spreadsheetml/2006/main">
  <numFmts count="1">
    <numFmt numFmtId="164" formatCode="dd\.mm\.yyyy"/>
  </numFmts>
  <fonts count="1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rgb="FFD6E3B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</cellStyleXfs>
  <cellXfs count="59">
    <xf numFmtId="0" fontId="0" fillId="0" borderId="0" xfId="0"/>
    <xf numFmtId="0" fontId="0" fillId="8" borderId="0" xfId="0" applyFill="1"/>
    <xf numFmtId="0" fontId="0" fillId="7" borderId="0" xfId="0" applyFont="1" applyFill="1"/>
    <xf numFmtId="0" fontId="1" fillId="3" borderId="2" xfId="0" applyFont="1" applyFill="1" applyBorder="1" applyAlignment="1">
      <alignment horizontal="justify" vertical="center" wrapText="1"/>
    </xf>
    <xf numFmtId="0" fontId="1" fillId="3" borderId="3" xfId="0" applyFont="1" applyFill="1" applyBorder="1" applyAlignment="1">
      <alignment horizontal="justify" vertical="center" wrapText="1"/>
    </xf>
    <xf numFmtId="0" fontId="0" fillId="0" borderId="0" xfId="0" applyAlignment="1">
      <alignment horizontal="justify"/>
    </xf>
    <xf numFmtId="0" fontId="1" fillId="4" borderId="7" xfId="0" applyFont="1" applyFill="1" applyBorder="1" applyAlignment="1">
      <alignment horizontal="justify" vertical="center" wrapText="1"/>
    </xf>
    <xf numFmtId="0" fontId="1" fillId="4" borderId="6" xfId="0" applyFont="1" applyFill="1" applyBorder="1" applyAlignment="1">
      <alignment horizontal="justify" vertical="center" wrapText="1"/>
    </xf>
    <xf numFmtId="0" fontId="1" fillId="5" borderId="7" xfId="0" applyFont="1" applyFill="1" applyBorder="1" applyAlignment="1">
      <alignment horizontal="justify" vertical="center" wrapText="1"/>
    </xf>
    <xf numFmtId="0" fontId="1" fillId="5" borderId="6" xfId="0" applyFont="1" applyFill="1" applyBorder="1" applyAlignment="1">
      <alignment horizontal="justify" vertical="center" wrapText="1"/>
    </xf>
    <xf numFmtId="0" fontId="3" fillId="6" borderId="4" xfId="0" applyFont="1" applyFill="1" applyBorder="1" applyAlignment="1">
      <alignment horizontal="justify" vertical="center" wrapText="1"/>
    </xf>
    <xf numFmtId="0" fontId="1" fillId="6" borderId="6" xfId="0" applyFont="1" applyFill="1" applyBorder="1" applyAlignment="1">
      <alignment horizontal="justify" vertical="center" wrapText="1"/>
    </xf>
    <xf numFmtId="0" fontId="3" fillId="4" borderId="4" xfId="0" applyFont="1" applyFill="1" applyBorder="1" applyAlignment="1">
      <alignment horizontal="justify" vertical="center" wrapText="1"/>
    </xf>
    <xf numFmtId="0" fontId="3" fillId="5" borderId="4" xfId="0" applyFont="1" applyFill="1" applyBorder="1" applyAlignment="1">
      <alignment horizontal="justify" vertical="center" wrapText="1"/>
    </xf>
    <xf numFmtId="0" fontId="1" fillId="6" borderId="7" xfId="0" applyFont="1" applyFill="1" applyBorder="1" applyAlignment="1">
      <alignment horizontal="justify" vertical="center" wrapText="1"/>
    </xf>
    <xf numFmtId="0" fontId="0" fillId="5" borderId="7" xfId="0" applyFill="1" applyBorder="1" applyAlignment="1">
      <alignment horizontal="justify" vertical="top" wrapText="1"/>
    </xf>
    <xf numFmtId="0" fontId="0" fillId="5" borderId="6" xfId="0" applyFill="1" applyBorder="1" applyAlignment="1">
      <alignment horizontal="justify" vertical="top" wrapText="1"/>
    </xf>
    <xf numFmtId="0" fontId="3" fillId="0" borderId="4" xfId="0" applyFont="1" applyBorder="1" applyAlignment="1">
      <alignment horizontal="justify" vertical="center" wrapText="1"/>
    </xf>
    <xf numFmtId="0" fontId="1" fillId="0" borderId="6" xfId="0" applyFont="1" applyBorder="1" applyAlignment="1">
      <alignment horizontal="justify" vertical="center" wrapText="1"/>
    </xf>
    <xf numFmtId="0" fontId="0" fillId="0" borderId="0" xfId="0" applyAlignment="1">
      <alignment horizontal="justify" vertical="center"/>
    </xf>
    <xf numFmtId="0" fontId="0" fillId="5" borderId="6" xfId="0" applyFont="1" applyFill="1" applyBorder="1" applyAlignment="1">
      <alignment horizontal="justify" vertical="center" wrapText="1"/>
    </xf>
    <xf numFmtId="0" fontId="0" fillId="7" borderId="0" xfId="0" applyFont="1" applyFill="1" applyAlignment="1">
      <alignment horizontal="right"/>
    </xf>
    <xf numFmtId="0" fontId="4" fillId="9" borderId="0" xfId="0" applyFont="1" applyFill="1"/>
    <xf numFmtId="0" fontId="4" fillId="9" borderId="0" xfId="0" applyFont="1" applyFill="1" applyAlignment="1">
      <alignment horizontal="right"/>
    </xf>
    <xf numFmtId="0" fontId="0" fillId="12" borderId="0" xfId="0" applyFill="1"/>
    <xf numFmtId="0" fontId="0" fillId="12" borderId="11" xfId="0" applyFill="1" applyBorder="1" applyAlignment="1">
      <alignment horizontal="right"/>
    </xf>
    <xf numFmtId="0" fontId="0" fillId="12" borderId="11" xfId="0" applyFill="1" applyBorder="1"/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0" xfId="0" quotePrefix="1" applyFill="1" applyAlignment="1">
      <alignment horizontal="right"/>
    </xf>
    <xf numFmtId="0" fontId="0" fillId="0" borderId="0" xfId="0" applyFont="1"/>
    <xf numFmtId="164" fontId="0" fillId="0" borderId="0" xfId="0" applyNumberFormat="1" applyFont="1"/>
    <xf numFmtId="49" fontId="0" fillId="0" borderId="0" xfId="0" applyNumberFormat="1" applyFont="1"/>
    <xf numFmtId="0" fontId="7" fillId="0" borderId="0" xfId="0" applyFont="1"/>
    <xf numFmtId="164" fontId="8" fillId="0" borderId="0" xfId="3" applyNumberFormat="1" applyFont="1" applyFill="1"/>
    <xf numFmtId="0" fontId="9" fillId="0" borderId="0" xfId="2" applyFont="1" applyFill="1"/>
    <xf numFmtId="0" fontId="8" fillId="0" borderId="0" xfId="3" applyFont="1" applyFill="1"/>
    <xf numFmtId="0" fontId="8" fillId="0" borderId="0" xfId="2" applyFont="1" applyFill="1"/>
    <xf numFmtId="0" fontId="8" fillId="0" borderId="0" xfId="0" applyFont="1" applyFill="1"/>
    <xf numFmtId="49" fontId="8" fillId="0" borderId="0" xfId="0" applyNumberFormat="1" applyFont="1" applyFill="1"/>
    <xf numFmtId="0" fontId="9" fillId="0" borderId="0" xfId="0" applyFont="1" applyFill="1"/>
    <xf numFmtId="164" fontId="8" fillId="0" borderId="0" xfId="0" applyNumberFormat="1" applyFont="1" applyFill="1"/>
    <xf numFmtId="0" fontId="3" fillId="4" borderId="8" xfId="0" applyFont="1" applyFill="1" applyBorder="1" applyAlignment="1">
      <alignment horizontal="justify" vertical="center" wrapText="1"/>
    </xf>
    <xf numFmtId="0" fontId="3" fillId="4" borderId="5" xfId="0" applyFont="1" applyFill="1" applyBorder="1" applyAlignment="1">
      <alignment horizontal="justify" vertical="center" wrapText="1"/>
    </xf>
    <xf numFmtId="0" fontId="3" fillId="4" borderId="4" xfId="0" applyFont="1" applyFill="1" applyBorder="1" applyAlignment="1">
      <alignment horizontal="justify" vertical="center" wrapText="1"/>
    </xf>
    <xf numFmtId="0" fontId="3" fillId="5" borderId="8" xfId="0" applyFont="1" applyFill="1" applyBorder="1" applyAlignment="1">
      <alignment horizontal="justify" vertical="center" wrapText="1"/>
    </xf>
    <xf numFmtId="0" fontId="3" fillId="5" borderId="4" xfId="0" applyFont="1" applyFill="1" applyBorder="1" applyAlignment="1">
      <alignment horizontal="justify" vertical="center" wrapText="1"/>
    </xf>
    <xf numFmtId="0" fontId="3" fillId="6" borderId="8" xfId="0" applyFont="1" applyFill="1" applyBorder="1" applyAlignment="1">
      <alignment horizontal="justify" vertical="center" wrapText="1"/>
    </xf>
    <xf numFmtId="0" fontId="3" fillId="6" borderId="4" xfId="0" applyFont="1" applyFill="1" applyBorder="1" applyAlignment="1">
      <alignment horizontal="justify" vertical="center" wrapText="1"/>
    </xf>
    <xf numFmtId="0" fontId="1" fillId="6" borderId="8" xfId="0" applyFont="1" applyFill="1" applyBorder="1" applyAlignment="1">
      <alignment horizontal="justify" vertical="center" wrapText="1"/>
    </xf>
    <xf numFmtId="0" fontId="1" fillId="6" borderId="4" xfId="0" applyFont="1" applyFill="1" applyBorder="1" applyAlignment="1">
      <alignment horizontal="justify" vertical="center" wrapText="1"/>
    </xf>
    <xf numFmtId="0" fontId="3" fillId="5" borderId="5" xfId="0" applyFont="1" applyFill="1" applyBorder="1" applyAlignment="1">
      <alignment horizontal="justify" vertical="center" wrapText="1"/>
    </xf>
    <xf numFmtId="0" fontId="1" fillId="5" borderId="8" xfId="0" applyFont="1" applyFill="1" applyBorder="1" applyAlignment="1">
      <alignment horizontal="justify" vertical="center" wrapText="1"/>
    </xf>
    <xf numFmtId="0" fontId="1" fillId="5" borderId="5" xfId="0" applyFont="1" applyFill="1" applyBorder="1" applyAlignment="1">
      <alignment horizontal="justify" vertical="center" wrapText="1"/>
    </xf>
    <xf numFmtId="0" fontId="1" fillId="5" borderId="4" xfId="0" applyFont="1" applyFill="1" applyBorder="1" applyAlignment="1">
      <alignment horizontal="justify" vertical="center" wrapText="1"/>
    </xf>
    <xf numFmtId="0" fontId="3" fillId="6" borderId="5" xfId="0" applyFont="1" applyFill="1" applyBorder="1" applyAlignment="1">
      <alignment horizontal="justify" vertical="center" wrapText="1"/>
    </xf>
    <xf numFmtId="0" fontId="2" fillId="2" borderId="1" xfId="1" applyAlignment="1">
      <alignment shrinkToFit="1"/>
    </xf>
    <xf numFmtId="0" fontId="2" fillId="2" borderId="9" xfId="1" applyBorder="1" applyAlignment="1">
      <alignment shrinkToFit="1"/>
    </xf>
    <xf numFmtId="0" fontId="0" fillId="0" borderId="10" xfId="0" applyBorder="1" applyAlignment="1">
      <alignment shrinkToFit="1"/>
    </xf>
  </cellXfs>
  <cellStyles count="4">
    <cellStyle name="Вывод" xfId="1" builtinId="21"/>
    <cellStyle name="Нейтральный" xfId="3" builtinId="28"/>
    <cellStyle name="Обычный" xfId="0" builtinId="0"/>
    <cellStyle name="Хороший" xfId="2" builtinId="26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2162175</xdr:colOff>
      <xdr:row>78</xdr:row>
      <xdr:rowOff>104775</xdr:rowOff>
    </xdr:from>
    <xdr:ext cx="184731" cy="264560"/>
    <xdr:sp macro="" textlink="">
      <xdr:nvSpPr>
        <xdr:cNvPr id="2" name="TextBox 1"/>
        <xdr:cNvSpPr txBox="1"/>
      </xdr:nvSpPr>
      <xdr:spPr>
        <a:xfrm>
          <a:off x="12334875" y="17764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604157</xdr:colOff>
      <xdr:row>2</xdr:row>
      <xdr:rowOff>0</xdr:rowOff>
    </xdr:to>
    <xdr:sp macro="[0]!ShowTotalSum" textlink="">
      <xdr:nvSpPr>
        <xdr:cNvPr id="9" name="Рамка 8"/>
        <xdr:cNvSpPr/>
      </xdr:nvSpPr>
      <xdr:spPr>
        <a:xfrm>
          <a:off x="3156858" y="1845128"/>
          <a:ext cx="881742" cy="266700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ru-RU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495300</xdr:colOff>
      <xdr:row>0</xdr:row>
      <xdr:rowOff>119744</xdr:rowOff>
    </xdr:from>
    <xdr:to>
      <xdr:col>2</xdr:col>
      <xdr:colOff>718456</xdr:colOff>
      <xdr:row>0</xdr:row>
      <xdr:rowOff>359229</xdr:rowOff>
    </xdr:to>
    <xdr:sp macro="[0]!Module2.MinusSelected" textlink="">
      <xdr:nvSpPr>
        <xdr:cNvPr id="43" name="Овал 42"/>
        <xdr:cNvSpPr/>
      </xdr:nvSpPr>
      <xdr:spPr>
        <a:xfrm>
          <a:off x="7200900" y="119744"/>
          <a:ext cx="223156" cy="23948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1100"/>
            <a:t>-</a:t>
          </a:r>
        </a:p>
      </xdr:txBody>
    </xdr:sp>
    <xdr:clientData/>
  </xdr:twoCellAnchor>
  <xdr:oneCellAnchor>
    <xdr:from>
      <xdr:col>2</xdr:col>
      <xdr:colOff>751114</xdr:colOff>
      <xdr:row>0</xdr:row>
      <xdr:rowOff>125185</xdr:rowOff>
    </xdr:from>
    <xdr:ext cx="206827" cy="234044"/>
    <xdr:sp macro="[0]!Module2.PlusSelected" textlink="">
      <xdr:nvSpPr>
        <xdr:cNvPr id="44" name="Овал 43"/>
        <xdr:cNvSpPr/>
      </xdr:nvSpPr>
      <xdr:spPr>
        <a:xfrm>
          <a:off x="7456714" y="125185"/>
          <a:ext cx="206827" cy="234044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 anchorCtr="1">
          <a:noAutofit/>
        </a:bodyPr>
        <a:lstStyle/>
        <a:p>
          <a:pPr algn="l"/>
          <a:r>
            <a:rPr lang="ru-RU" sz="1100"/>
            <a:t>+</a:t>
          </a:r>
        </a:p>
      </xdr:txBody>
    </xdr:sp>
    <xdr:clientData/>
  </xdr:oneCellAnchor>
  <xdr:twoCellAnchor>
    <xdr:from>
      <xdr:col>4</xdr:col>
      <xdr:colOff>615043</xdr:colOff>
      <xdr:row>16</xdr:row>
      <xdr:rowOff>179613</xdr:rowOff>
    </xdr:from>
    <xdr:to>
      <xdr:col>6</xdr:col>
      <xdr:colOff>10885</xdr:colOff>
      <xdr:row>18</xdr:row>
      <xdr:rowOff>21770</xdr:rowOff>
    </xdr:to>
    <xdr:sp macro="[0]!SendToReport" textlink="">
      <xdr:nvSpPr>
        <xdr:cNvPr id="6" name="Скругленный прямоугольник 5"/>
        <xdr:cNvSpPr/>
      </xdr:nvSpPr>
      <xdr:spPr>
        <a:xfrm>
          <a:off x="8904514" y="3407227"/>
          <a:ext cx="794657" cy="2231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В отчёт</a:t>
          </a:r>
        </a:p>
      </xdr:txBody>
    </xdr:sp>
    <xdr:clientData/>
  </xdr:twoCellAnchor>
  <xdr:twoCellAnchor>
    <xdr:from>
      <xdr:col>5</xdr:col>
      <xdr:colOff>332015</xdr:colOff>
      <xdr:row>0</xdr:row>
      <xdr:rowOff>163287</xdr:rowOff>
    </xdr:from>
    <xdr:to>
      <xdr:col>5</xdr:col>
      <xdr:colOff>522515</xdr:colOff>
      <xdr:row>0</xdr:row>
      <xdr:rowOff>348342</xdr:rowOff>
    </xdr:to>
    <xdr:sp macro="[0]!ClearOrder" textlink="">
      <xdr:nvSpPr>
        <xdr:cNvPr id="7" name="Знак запрета 6"/>
        <xdr:cNvSpPr/>
      </xdr:nvSpPr>
      <xdr:spPr>
        <a:xfrm>
          <a:off x="9410701" y="163287"/>
          <a:ext cx="190500" cy="185055"/>
        </a:xfrm>
        <a:prstGeom prst="noSmoking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647701</xdr:colOff>
      <xdr:row>14</xdr:row>
      <xdr:rowOff>66675</xdr:rowOff>
    </xdr:from>
    <xdr:to>
      <xdr:col>4</xdr:col>
      <xdr:colOff>952501</xdr:colOff>
      <xdr:row>15</xdr:row>
      <xdr:rowOff>161924</xdr:rowOff>
    </xdr:to>
    <xdr:sp macro="[0]!ClearReport" textlink="">
      <xdr:nvSpPr>
        <xdr:cNvPr id="7" name="Знак запрета 6"/>
        <xdr:cNvSpPr/>
      </xdr:nvSpPr>
      <xdr:spPr>
        <a:xfrm>
          <a:off x="7639051" y="2733675"/>
          <a:ext cx="304800" cy="285749"/>
        </a:xfrm>
        <a:prstGeom prst="noSmoking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5</xdr:col>
      <xdr:colOff>47624</xdr:colOff>
      <xdr:row>18</xdr:row>
      <xdr:rowOff>19050</xdr:rowOff>
    </xdr:from>
    <xdr:to>
      <xdr:col>5</xdr:col>
      <xdr:colOff>571499</xdr:colOff>
      <xdr:row>19</xdr:row>
      <xdr:rowOff>152399</xdr:rowOff>
    </xdr:to>
    <xdr:sp macro="[0]!ShowCashTotal" textlink="">
      <xdr:nvSpPr>
        <xdr:cNvPr id="8" name="Блок-схема: перфолента 7"/>
        <xdr:cNvSpPr/>
      </xdr:nvSpPr>
      <xdr:spPr>
        <a:xfrm>
          <a:off x="8181974" y="3448050"/>
          <a:ext cx="523875" cy="323849"/>
        </a:xfrm>
        <a:prstGeom prst="flowChartPunchedTap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</a:rPr>
            <a:t>Кэш</a:t>
          </a:r>
        </a:p>
      </xdr:txBody>
    </xdr:sp>
    <xdr:clientData/>
  </xdr:twoCellAnchor>
  <xdr:twoCellAnchor>
    <xdr:from>
      <xdr:col>4</xdr:col>
      <xdr:colOff>419100</xdr:colOff>
      <xdr:row>22</xdr:row>
      <xdr:rowOff>104775</xdr:rowOff>
    </xdr:from>
    <xdr:to>
      <xdr:col>5</xdr:col>
      <xdr:colOff>28575</xdr:colOff>
      <xdr:row>24</xdr:row>
      <xdr:rowOff>76200</xdr:rowOff>
    </xdr:to>
    <xdr:sp macro="[0]!ShowGrandTotal" textlink="">
      <xdr:nvSpPr>
        <xdr:cNvPr id="9" name="Равно 8"/>
        <xdr:cNvSpPr/>
      </xdr:nvSpPr>
      <xdr:spPr>
        <a:xfrm>
          <a:off x="7410450" y="4295775"/>
          <a:ext cx="752475" cy="352425"/>
        </a:xfrm>
        <a:prstGeom prst="mathEqua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914399</xdr:colOff>
      <xdr:row>18</xdr:row>
      <xdr:rowOff>76199</xdr:rowOff>
    </xdr:from>
    <xdr:to>
      <xdr:col>4</xdr:col>
      <xdr:colOff>628649</xdr:colOff>
      <xdr:row>19</xdr:row>
      <xdr:rowOff>123824</xdr:rowOff>
    </xdr:to>
    <xdr:sp macro="[0]!ShowCardTotal" textlink="">
      <xdr:nvSpPr>
        <xdr:cNvPr id="10" name="Багетная рамка 9"/>
        <xdr:cNvSpPr/>
      </xdr:nvSpPr>
      <xdr:spPr>
        <a:xfrm>
          <a:off x="6924674" y="3505199"/>
          <a:ext cx="695325" cy="238125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Карта</a:t>
          </a:r>
        </a:p>
        <a:p>
          <a:pPr algn="ctr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F113"/>
  <sheetViews>
    <sheetView workbookViewId="0">
      <pane ySplit="1" topLeftCell="A83" activePane="bottomLeft" state="frozen"/>
      <selection pane="bottomLeft" activeCell="B62" sqref="A62:XFD62"/>
    </sheetView>
  </sheetViews>
  <sheetFormatPr defaultRowHeight="15"/>
  <cols>
    <col min="1" max="1" width="40.140625" style="5" customWidth="1"/>
    <col min="2" max="2" width="41.140625" style="5" customWidth="1"/>
    <col min="3" max="3" width="9.140625" style="5" customWidth="1"/>
    <col min="4" max="4" width="11.42578125" style="5" customWidth="1"/>
    <col min="5" max="5" width="50.7109375" style="5" customWidth="1"/>
    <col min="6" max="6" width="50" style="5" hidden="1" customWidth="1"/>
    <col min="7" max="16384" width="9.140625" style="5"/>
  </cols>
  <sheetData>
    <row r="1" spans="1:6" ht="15.75" thickBot="1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151</v>
      </c>
    </row>
    <row r="2" spans="1:6" ht="15.75" thickBot="1">
      <c r="A2" s="42" t="s">
        <v>5</v>
      </c>
      <c r="B2" s="6" t="s">
        <v>6</v>
      </c>
      <c r="C2" s="7" t="s">
        <v>7</v>
      </c>
      <c r="D2" s="7">
        <v>11</v>
      </c>
      <c r="E2" s="7" t="s">
        <v>8</v>
      </c>
      <c r="F2" s="5" t="str">
        <f>A2 &amp; "|" &amp; C2 &amp; "|" &amp; E2</f>
        <v>КСЕРОКС/РАСПЕЧАТКА|1 прогон|А4</v>
      </c>
    </row>
    <row r="3" spans="1:6" ht="15.75" thickBot="1">
      <c r="A3" s="43"/>
      <c r="B3" s="6" t="s">
        <v>6</v>
      </c>
      <c r="C3" s="7" t="s">
        <v>7</v>
      </c>
      <c r="D3" s="7">
        <v>11</v>
      </c>
      <c r="E3" s="7" t="s">
        <v>8</v>
      </c>
      <c r="F3" s="5" t="str">
        <f>A2 &amp; "|" &amp; C3 &amp; "|" &amp; E3</f>
        <v>КСЕРОКС/РАСПЕЧАТКА|1 прогон|А4</v>
      </c>
    </row>
    <row r="4" spans="1:6" ht="15.75" thickBot="1">
      <c r="A4" s="44"/>
      <c r="B4" s="7" t="s">
        <v>6</v>
      </c>
      <c r="C4" s="7" t="s">
        <v>7</v>
      </c>
      <c r="D4" s="7">
        <v>33</v>
      </c>
      <c r="E4" s="7" t="s">
        <v>9</v>
      </c>
      <c r="F4" s="5" t="str">
        <f>A2 &amp; "|" &amp; C4 &amp; "|" &amp; E4</f>
        <v>КСЕРОКС/РАСПЕЧАТКА|1 прогон|А3</v>
      </c>
    </row>
    <row r="5" spans="1:6" ht="29.25" customHeight="1" thickBot="1">
      <c r="A5" s="45" t="s">
        <v>10</v>
      </c>
      <c r="B5" s="8" t="s">
        <v>6</v>
      </c>
      <c r="C5" s="9" t="s">
        <v>7</v>
      </c>
      <c r="D5" s="9">
        <v>44</v>
      </c>
      <c r="E5" s="9" t="s">
        <v>8</v>
      </c>
      <c r="F5" s="5" t="str">
        <f>A5 &amp; "|" &amp; C5 &amp; "|" &amp; E5</f>
        <v>ЦВЕТНАЯ РАСПЕЧАТКА|1 прогон|А4</v>
      </c>
    </row>
    <row r="6" spans="1:6" ht="15.75" thickBot="1">
      <c r="A6" s="46"/>
      <c r="B6" s="9" t="s">
        <v>6</v>
      </c>
      <c r="C6" s="9" t="s">
        <v>7</v>
      </c>
      <c r="D6" s="9">
        <v>66</v>
      </c>
      <c r="E6" s="9" t="s">
        <v>9</v>
      </c>
      <c r="F6" s="5" t="str">
        <f>A5 &amp; "|" &amp; C6 &amp; "|" &amp; E6</f>
        <v>ЦВЕТНАЯ РАСПЕЧАТКА|1 прогон|А3</v>
      </c>
    </row>
    <row r="7" spans="1:6" ht="15.75" thickBot="1">
      <c r="A7" s="10" t="s">
        <v>11</v>
      </c>
      <c r="B7" s="11" t="s">
        <v>6</v>
      </c>
      <c r="C7" s="11" t="s">
        <v>12</v>
      </c>
      <c r="D7" s="11">
        <v>22</v>
      </c>
      <c r="E7" s="11"/>
      <c r="F7" s="5" t="str">
        <f>A7 &amp; "|" &amp; C7 &amp; "|" &amp; E7</f>
        <v>СКАНИРОВАНИЕ|1 шт|</v>
      </c>
    </row>
    <row r="8" spans="1:6" ht="30.75" thickBot="1">
      <c r="A8" s="12" t="s">
        <v>13</v>
      </c>
      <c r="B8" s="7"/>
      <c r="C8" s="7" t="s">
        <v>12</v>
      </c>
      <c r="D8" s="7">
        <v>39</v>
      </c>
      <c r="E8" s="7"/>
      <c r="F8" s="5" t="str">
        <f>A8 &amp; "|" &amp; C8 &amp; "|" &amp; E8</f>
        <v>СКАНИРОВАНИЕ ФОТО И КАДРИРОВАНИЕ ПОД РАЗМЕР|1 шт|</v>
      </c>
    </row>
    <row r="9" spans="1:6" ht="15.75" thickBot="1">
      <c r="A9" s="13" t="s">
        <v>14</v>
      </c>
      <c r="B9" s="9"/>
      <c r="C9" s="9" t="s">
        <v>6</v>
      </c>
      <c r="D9" s="9">
        <v>70</v>
      </c>
      <c r="E9" s="9"/>
      <c r="F9" s="5" t="str">
        <f>A9 &amp; "|" &amp; C9 &amp; "|" &amp; E9</f>
        <v>СОХРАНЕНИЕ НА НОСИТЕЛЬ|-|</v>
      </c>
    </row>
    <row r="10" spans="1:6" ht="59.25" customHeight="1" thickBot="1">
      <c r="A10" s="47" t="s">
        <v>15</v>
      </c>
      <c r="B10" s="49" t="s">
        <v>16</v>
      </c>
      <c r="C10" s="11" t="s">
        <v>6</v>
      </c>
      <c r="D10" s="11">
        <v>330</v>
      </c>
      <c r="E10" s="11" t="s">
        <v>17</v>
      </c>
      <c r="F10" s="5" t="str">
        <f>A10 &amp; "|" &amp; C10 &amp; "|" &amp; E10</f>
        <v>СКИНУТЬ ФОТО С ПОЧТЫ НА USB|-|&lt; 100 шт</v>
      </c>
    </row>
    <row r="11" spans="1:6" ht="15.75" thickBot="1">
      <c r="A11" s="48"/>
      <c r="B11" s="50"/>
      <c r="C11" s="11" t="s">
        <v>6</v>
      </c>
      <c r="D11" s="11">
        <v>220</v>
      </c>
      <c r="E11" s="11" t="s">
        <v>18</v>
      </c>
      <c r="F11" s="5" t="str">
        <f>A10 &amp; "|" &amp; C11 &amp; "|" &amp; E11</f>
        <v>СКИНУТЬ ФОТО С ПОЧТЫ НА USB|-|&gt; 100 шт</v>
      </c>
    </row>
    <row r="12" spans="1:6" ht="15.75" thickBot="1">
      <c r="A12" s="12" t="s">
        <v>19</v>
      </c>
      <c r="B12" s="7" t="s">
        <v>20</v>
      </c>
      <c r="C12" s="7" t="s">
        <v>6</v>
      </c>
      <c r="D12" s="7">
        <v>77</v>
      </c>
      <c r="E12" s="7"/>
      <c r="F12" s="5" t="str">
        <f>A12 &amp; "|" &amp; B12 &amp; "|" &amp; E12</f>
        <v>ВЫХОД В ИНТЕРНЕТ|Музыку и видео не ищем.|</v>
      </c>
    </row>
    <row r="13" spans="1:6" ht="15.75" thickBot="1">
      <c r="A13" s="13" t="s">
        <v>21</v>
      </c>
      <c r="B13" s="9" t="s">
        <v>6</v>
      </c>
      <c r="C13" s="9" t="s">
        <v>6</v>
      </c>
      <c r="D13" s="9">
        <v>50</v>
      </c>
      <c r="E13" s="9"/>
      <c r="F13" s="5" t="str">
        <f>A13 &amp; "|" &amp; C13 &amp; "|" &amp; E13</f>
        <v>КОНВЕРТИРОВАНИЕ В ДРУГОЙ ФОРМАТ|-|</v>
      </c>
    </row>
    <row r="14" spans="1:6" ht="15.75" thickBot="1">
      <c r="A14" s="47" t="s">
        <v>22</v>
      </c>
      <c r="B14" s="14" t="s">
        <v>6</v>
      </c>
      <c r="C14" s="11" t="s">
        <v>24</v>
      </c>
      <c r="D14" s="11">
        <v>100</v>
      </c>
      <c r="E14" s="11"/>
      <c r="F14" s="5" t="str">
        <f>A14 &amp; "|" &amp; C14 &amp; "|" &amp; E14</f>
        <v>КОПИРОВАНИЕ CD/DVD|1 диск|</v>
      </c>
    </row>
    <row r="15" spans="1:6" ht="15.75" thickBot="1">
      <c r="A15" s="48"/>
      <c r="B15" s="11" t="s">
        <v>23</v>
      </c>
      <c r="C15" s="11" t="s">
        <v>24</v>
      </c>
      <c r="D15" s="11">
        <v>210</v>
      </c>
      <c r="E15" s="11"/>
      <c r="F15" s="5" t="str">
        <f>A14 &amp; "|"  &amp;B15</f>
        <v>КОПИРОВАНИЕ CD/DVD|Если есть видео файлы.</v>
      </c>
    </row>
    <row r="16" spans="1:6" ht="15.75" thickBot="1">
      <c r="A16" s="42" t="s">
        <v>25</v>
      </c>
      <c r="B16" s="7" t="s">
        <v>6</v>
      </c>
      <c r="C16" s="7" t="s">
        <v>12</v>
      </c>
      <c r="D16" s="7">
        <v>83</v>
      </c>
      <c r="E16" s="7" t="s">
        <v>8</v>
      </c>
      <c r="F16" s="5" t="str">
        <f>A16 &amp; "|" &amp; C16 &amp; "|" &amp; E16</f>
        <v>ЛАМИНИРОВАНИЕ|1 шт|А4</v>
      </c>
    </row>
    <row r="17" spans="1:6" ht="15.75" thickBot="1">
      <c r="A17" s="43"/>
      <c r="B17" s="7" t="s">
        <v>26</v>
      </c>
      <c r="C17" s="7"/>
      <c r="D17" s="7">
        <v>275</v>
      </c>
      <c r="E17" s="7" t="s">
        <v>9</v>
      </c>
      <c r="F17" s="5" t="str">
        <f>A16 &amp; "|" &amp; B17 &amp; "|" &amp; E17</f>
        <v>ЛАМИНИРОВАНИЕ|Глянец|А3</v>
      </c>
    </row>
    <row r="18" spans="1:6" ht="15.75" thickBot="1">
      <c r="A18" s="44"/>
      <c r="B18" s="7" t="s">
        <v>27</v>
      </c>
      <c r="C18" s="7"/>
      <c r="D18" s="7">
        <v>308</v>
      </c>
      <c r="E18" s="7" t="s">
        <v>9</v>
      </c>
      <c r="F18" s="5" t="str">
        <f>A16 &amp; "|" &amp; B18 &amp; "|" &amp; E18</f>
        <v>ЛАМИНИРОВАНИЕ|Мат|А3</v>
      </c>
    </row>
    <row r="19" spans="1:6" ht="15.75" thickBot="1">
      <c r="A19" s="45" t="s">
        <v>28</v>
      </c>
      <c r="B19" s="9" t="s">
        <v>29</v>
      </c>
      <c r="C19" s="9" t="s">
        <v>30</v>
      </c>
      <c r="D19" s="9">
        <v>330</v>
      </c>
      <c r="E19" s="9" t="s">
        <v>31</v>
      </c>
      <c r="F19" s="5" t="str">
        <f>A19 &amp; "|" &amp; C19 &amp; "|" &amp; E19</f>
        <v>ОЦИФРОВКА ВИДЕО|1 час|VHS</v>
      </c>
    </row>
    <row r="20" spans="1:6" ht="15.75" thickBot="1">
      <c r="A20" s="46"/>
      <c r="B20" s="9" t="s">
        <v>32</v>
      </c>
      <c r="C20" s="9" t="s">
        <v>30</v>
      </c>
      <c r="D20" s="9">
        <v>390</v>
      </c>
      <c r="E20" s="9" t="s">
        <v>33</v>
      </c>
      <c r="F20" s="5" t="str">
        <f>A19 &amp; "|" &amp; C20 &amp; "|" &amp; E20</f>
        <v>ОЦИФРОВКА ВИДЕО|1 час|VHS-C</v>
      </c>
    </row>
    <row r="21" spans="1:6" ht="30.75" thickBot="1">
      <c r="A21" s="10" t="s">
        <v>34</v>
      </c>
      <c r="B21" s="11" t="s">
        <v>35</v>
      </c>
      <c r="C21" s="11" t="s">
        <v>12</v>
      </c>
      <c r="D21" s="11">
        <v>605</v>
      </c>
      <c r="E21" s="11"/>
      <c r="F21" s="5" t="str">
        <f>A21 &amp; "|" &amp; C21 &amp; "|" &amp; E21</f>
        <v>ПРОЯВКА ФОТО ПЛЁНКИ|1 шт|</v>
      </c>
    </row>
    <row r="22" spans="1:6" ht="15.75" thickBot="1">
      <c r="A22" s="12" t="s">
        <v>36</v>
      </c>
      <c r="B22" s="7" t="s">
        <v>6</v>
      </c>
      <c r="C22" s="7" t="s">
        <v>37</v>
      </c>
      <c r="D22" s="7">
        <v>39</v>
      </c>
      <c r="E22" s="7"/>
      <c r="F22" s="5" t="str">
        <f>A22 &amp; "|" &amp; C22 &amp; "|" &amp; E22</f>
        <v>ОЦИФРОВКА ФОТО ПЛЁНКИ|1 кадр|</v>
      </c>
    </row>
    <row r="23" spans="1:6" ht="15.75" thickBot="1">
      <c r="A23" s="45" t="s">
        <v>38</v>
      </c>
      <c r="B23" s="9" t="s">
        <v>39</v>
      </c>
      <c r="C23" s="9" t="s">
        <v>12</v>
      </c>
      <c r="D23" s="9">
        <v>90</v>
      </c>
      <c r="E23" s="9" t="s">
        <v>40</v>
      </c>
      <c r="F23" s="5" t="str">
        <f>A23 &amp; "|" &amp; C23 &amp; "|" &amp; E23</f>
        <v>ДИСКИ|1 шт|Конверт  +11 Руб.</v>
      </c>
    </row>
    <row r="24" spans="1:6" ht="15.75" thickBot="1">
      <c r="A24" s="46"/>
      <c r="B24" s="9" t="s">
        <v>41</v>
      </c>
      <c r="C24" s="9" t="s">
        <v>12</v>
      </c>
      <c r="D24" s="9">
        <v>120</v>
      </c>
      <c r="E24" s="9" t="s">
        <v>40</v>
      </c>
      <c r="F24" s="5" t="str">
        <f>A23 &amp; "|" &amp; C24 &amp; "|" &amp; E24</f>
        <v>ДИСКИ|1 шт|Конверт  +11 Руб.</v>
      </c>
    </row>
    <row r="25" spans="1:6" ht="15.75" thickBot="1">
      <c r="A25" s="47" t="s">
        <v>42</v>
      </c>
      <c r="B25" s="14" t="s">
        <v>6</v>
      </c>
      <c r="C25" s="11" t="s">
        <v>12</v>
      </c>
      <c r="D25" s="11">
        <v>165</v>
      </c>
      <c r="E25" s="11"/>
      <c r="F25" s="5" t="str">
        <f>A25 &amp; "|" &amp; C25 &amp; "|" &amp; E25</f>
        <v>ЗАПИСЬ НА CD/USB|1 шт|</v>
      </c>
    </row>
    <row r="26" spans="1:6" ht="15.75" thickBot="1">
      <c r="A26" s="48"/>
      <c r="B26" s="11" t="s">
        <v>6</v>
      </c>
      <c r="C26" s="11" t="s">
        <v>12</v>
      </c>
      <c r="D26" s="11">
        <v>220</v>
      </c>
      <c r="E26" s="11" t="s">
        <v>43</v>
      </c>
      <c r="F26" s="5" t="str">
        <f>A25 &amp; "|" &amp; C26 &amp; "|" &amp; E26</f>
        <v>ЗАПИСЬ НА CD/USB|1 шт|Свыше 1Гб</v>
      </c>
    </row>
    <row r="27" spans="1:6" ht="15.75" thickBot="1">
      <c r="A27" s="42" t="s">
        <v>44</v>
      </c>
      <c r="B27" s="7" t="s">
        <v>45</v>
      </c>
      <c r="C27" s="7" t="s">
        <v>12</v>
      </c>
      <c r="D27" s="7">
        <v>830</v>
      </c>
      <c r="E27" s="7"/>
      <c r="F27" s="5" t="str">
        <f>A27 &amp; "|" &amp; C27 &amp; "|" &amp; B27</f>
        <v>ФЛЭШКИ|1 шт|16 Гб.</v>
      </c>
    </row>
    <row r="28" spans="1:6" ht="15.75" thickBot="1">
      <c r="A28" s="43"/>
      <c r="B28" s="7" t="s">
        <v>46</v>
      </c>
      <c r="C28" s="7" t="s">
        <v>12</v>
      </c>
      <c r="D28" s="7">
        <v>880</v>
      </c>
      <c r="E28" s="7"/>
      <c r="F28" s="5" t="str">
        <f>A27 &amp; "|" &amp; C28 &amp; "|" &amp; B28</f>
        <v>ФЛЭШКИ|1 шт|32 Гб.</v>
      </c>
    </row>
    <row r="29" spans="1:6" ht="15.75" thickBot="1">
      <c r="A29" s="44"/>
      <c r="B29" s="7" t="s">
        <v>47</v>
      </c>
      <c r="C29" s="7" t="s">
        <v>12</v>
      </c>
      <c r="D29" s="7">
        <v>940</v>
      </c>
      <c r="E29" s="7"/>
      <c r="F29" s="5" t="str">
        <f>A27 &amp; "|" &amp; C29 &amp; "|" &amp; B29</f>
        <v>ФЛЭШКИ|1 шт|64 Гб.</v>
      </c>
    </row>
    <row r="30" spans="1:6" ht="15.75" thickBot="1">
      <c r="A30" s="45" t="s">
        <v>48</v>
      </c>
      <c r="B30" s="9" t="s">
        <v>49</v>
      </c>
      <c r="C30" s="9" t="s">
        <v>12</v>
      </c>
      <c r="D30" s="9">
        <v>11</v>
      </c>
      <c r="E30" s="52"/>
      <c r="F30" s="5" t="str">
        <f>A30 &amp; "|" &amp; C30 &amp; "|" &amp; B30</f>
        <v>ВИЗИТКИ|1 шт|Односторонние.</v>
      </c>
    </row>
    <row r="31" spans="1:6" ht="15.75" thickBot="1">
      <c r="A31" s="51"/>
      <c r="B31" s="9" t="s">
        <v>50</v>
      </c>
      <c r="C31" s="9" t="s">
        <v>12</v>
      </c>
      <c r="D31" s="9">
        <v>16</v>
      </c>
      <c r="E31" s="53"/>
      <c r="F31" s="5" t="str">
        <f>A30 &amp; "|" &amp; C31 &amp; "|" &amp; B31</f>
        <v>ВИЗИТКИ|1 шт|Две стороны.</v>
      </c>
    </row>
    <row r="32" spans="1:6" ht="15.75" thickBot="1">
      <c r="A32" s="51"/>
      <c r="B32" s="9" t="s">
        <v>51</v>
      </c>
      <c r="C32" s="9" t="s">
        <v>12</v>
      </c>
      <c r="D32" s="9">
        <v>17</v>
      </c>
      <c r="E32" s="53"/>
      <c r="F32" s="5" t="str">
        <f>A30 &amp; "|" &amp; C32 &amp; "|" &amp; B32</f>
        <v>ВИЗИТКИ|1 шт|Ламинированные.</v>
      </c>
    </row>
    <row r="33" spans="1:6" ht="15.75" thickBot="1">
      <c r="A33" s="46"/>
      <c r="B33" s="9" t="s">
        <v>52</v>
      </c>
      <c r="C33" s="9" t="s">
        <v>12</v>
      </c>
      <c r="D33" s="9">
        <v>22</v>
      </c>
      <c r="E33" s="54"/>
      <c r="F33" s="5" t="str">
        <f>A30 &amp; "|" &amp; C33 &amp; "|" &amp; B33</f>
        <v>ВИЗИТКИ|1 шт|Пластиковые.</v>
      </c>
    </row>
    <row r="34" spans="1:6" ht="15.75" thickBot="1">
      <c r="A34" s="10" t="s">
        <v>53</v>
      </c>
      <c r="B34" s="11" t="s">
        <v>54</v>
      </c>
      <c r="C34" s="11" t="s">
        <v>12</v>
      </c>
      <c r="D34" s="11">
        <v>180</v>
      </c>
      <c r="E34" s="11"/>
      <c r="F34" s="5" t="str">
        <f>A34 &amp; "|" &amp; C34 &amp; "|" &amp; B34</f>
        <v>ФОТОМОНТАЖ/РЕТУШЬ|1 шт|Костюм, форма.</v>
      </c>
    </row>
    <row r="35" spans="1:6" ht="15.75" thickBot="1">
      <c r="A35" s="42" t="s">
        <v>55</v>
      </c>
      <c r="B35" s="7" t="s">
        <v>56</v>
      </c>
      <c r="C35" s="7" t="s">
        <v>12</v>
      </c>
      <c r="D35" s="7">
        <v>29</v>
      </c>
      <c r="E35" s="7"/>
      <c r="F35" s="5" t="str">
        <f>A35 &amp; "|" &amp; C35 &amp; "|" &amp; B35</f>
        <v>ПЕЧАТЬ ФОТО|1 шт|10х15 глянец.</v>
      </c>
    </row>
    <row r="36" spans="1:6" ht="15.75" thickBot="1">
      <c r="A36" s="43"/>
      <c r="B36" s="7" t="s">
        <v>57</v>
      </c>
      <c r="C36" s="7" t="s">
        <v>12</v>
      </c>
      <c r="D36" s="7">
        <v>31</v>
      </c>
      <c r="E36" s="7"/>
      <c r="F36" s="5" t="str">
        <f>A35 &amp; "|" &amp; C36 &amp; "|" &amp; B36</f>
        <v>ПЕЧАТЬ ФОТО|1 шт|10х15 мат.</v>
      </c>
    </row>
    <row r="37" spans="1:6" ht="15.75" thickBot="1">
      <c r="A37" s="43"/>
      <c r="B37" s="7" t="s">
        <v>58</v>
      </c>
      <c r="C37" s="7" t="s">
        <v>12</v>
      </c>
      <c r="D37" s="7">
        <v>33</v>
      </c>
      <c r="E37" s="7"/>
      <c r="F37" s="5" t="str">
        <f>A35 &amp; "|" &amp; C37 &amp; "|" &amp; B37</f>
        <v>ПЕЧАТЬ ФОТО|1 шт|10х15 сатин.</v>
      </c>
    </row>
    <row r="38" spans="1:6" ht="15.75" thickBot="1">
      <c r="A38" s="43"/>
      <c r="B38" s="7" t="s">
        <v>59</v>
      </c>
      <c r="C38" s="7" t="s">
        <v>12</v>
      </c>
      <c r="D38" s="7">
        <v>30</v>
      </c>
      <c r="E38" s="7"/>
      <c r="F38" s="5" t="str">
        <f>A35 &amp; "|" &amp; C38 &amp; "|" &amp; B38</f>
        <v>ПЕЧАТЬ ФОТО|1 шт|10х15 jetprint.</v>
      </c>
    </row>
    <row r="39" spans="1:6" ht="15.75" thickBot="1">
      <c r="A39" s="43"/>
      <c r="B39" s="7" t="s">
        <v>60</v>
      </c>
      <c r="C39" s="7" t="s">
        <v>12</v>
      </c>
      <c r="D39" s="7">
        <v>55</v>
      </c>
      <c r="E39" s="7"/>
      <c r="F39" s="5" t="str">
        <f>A35 &amp; "|" &amp; C39 &amp; "|" &amp; B39</f>
        <v>ПЕЧАТЬ ФОТО|1 шт|15х21 гл./мат./jet.</v>
      </c>
    </row>
    <row r="40" spans="1:6" ht="15.75" thickBot="1">
      <c r="A40" s="43"/>
      <c r="B40" s="7" t="s">
        <v>61</v>
      </c>
      <c r="C40" s="7" t="s">
        <v>12</v>
      </c>
      <c r="D40" s="7">
        <v>66</v>
      </c>
      <c r="E40" s="7"/>
      <c r="F40" s="5" t="str">
        <f>A35 &amp; "|" &amp; C40 &amp; "|" &amp; B40</f>
        <v>ПЕЧАТЬ ФОТО|1 шт|15х21 сатин.</v>
      </c>
    </row>
    <row r="41" spans="1:6" ht="15.75" thickBot="1">
      <c r="A41" s="43"/>
      <c r="B41" s="7" t="s">
        <v>62</v>
      </c>
      <c r="C41" s="7" t="s">
        <v>12</v>
      </c>
      <c r="D41" s="7">
        <v>143</v>
      </c>
      <c r="E41" s="7"/>
      <c r="F41" s="5" t="str">
        <f>A35 &amp; "|" &amp; C41 &amp; "|" &amp; B41</f>
        <v>ПЕЧАТЬ ФОТО|1 шт|15х21 самоклей.</v>
      </c>
    </row>
    <row r="42" spans="1:6" ht="15.75" thickBot="1">
      <c r="A42" s="43"/>
      <c r="B42" s="7" t="s">
        <v>63</v>
      </c>
      <c r="C42" s="7" t="s">
        <v>12</v>
      </c>
      <c r="D42" s="7">
        <v>105</v>
      </c>
      <c r="E42" s="7"/>
      <c r="F42" s="5" t="str">
        <f>A35 &amp; "|" &amp; C42 &amp; "|" &amp; B42</f>
        <v>ПЕЧАТЬ ФОТО|1 шт|21х30 гл./мат.</v>
      </c>
    </row>
    <row r="43" spans="1:6" ht="15.75" thickBot="1">
      <c r="A43" s="43"/>
      <c r="B43" s="7" t="s">
        <v>64</v>
      </c>
      <c r="C43" s="7" t="s">
        <v>12</v>
      </c>
      <c r="D43" s="7">
        <v>126</v>
      </c>
      <c r="E43" s="7"/>
      <c r="F43" s="5" t="str">
        <f>A35 &amp; "|" &amp; C43 &amp; "|" &amp; B43</f>
        <v>ПЕЧАТЬ ФОТО|1 шт|21х30 сатин.</v>
      </c>
    </row>
    <row r="44" spans="1:6" ht="15.75" thickBot="1">
      <c r="A44" s="43"/>
      <c r="B44" s="7" t="s">
        <v>65</v>
      </c>
      <c r="C44" s="7" t="s">
        <v>12</v>
      </c>
      <c r="D44" s="7">
        <v>116</v>
      </c>
      <c r="E44" s="7"/>
      <c r="F44" s="5" t="str">
        <f>A35 &amp; "|" &amp; C44 &amp; "|" &amp; B44</f>
        <v>ПЕЧАТЬ ФОТО|1 шт|21х30 jetprint.</v>
      </c>
    </row>
    <row r="45" spans="1:6" ht="15.75" thickBot="1">
      <c r="A45" s="43"/>
      <c r="B45" s="7" t="s">
        <v>66</v>
      </c>
      <c r="C45" s="7" t="s">
        <v>12</v>
      </c>
      <c r="D45" s="7">
        <v>220</v>
      </c>
      <c r="E45" s="7"/>
      <c r="F45" s="5" t="str">
        <f>A35 &amp; "|" &amp; C45 &amp; "|" &amp; B45</f>
        <v>ПЕЧАТЬ ФОТО|1 шт|21х30 самоклей.</v>
      </c>
    </row>
    <row r="46" spans="1:6" ht="15.75" thickBot="1">
      <c r="A46" s="43"/>
      <c r="B46" s="7" t="s">
        <v>67</v>
      </c>
      <c r="C46" s="7" t="s">
        <v>12</v>
      </c>
      <c r="D46" s="7">
        <v>200</v>
      </c>
      <c r="E46" s="7"/>
      <c r="F46" s="5" t="str">
        <f>A35 &amp; "|" &amp; C46 &amp; "|" &amp; B46</f>
        <v>ПЕЧАТЬ ФОТО|1 шт|30х40 гл./мат.</v>
      </c>
    </row>
    <row r="47" spans="1:6" ht="15.75" thickBot="1">
      <c r="A47" s="44"/>
      <c r="B47" s="7" t="s">
        <v>68</v>
      </c>
      <c r="C47" s="7" t="s">
        <v>12</v>
      </c>
      <c r="D47" s="7">
        <v>44</v>
      </c>
      <c r="E47" s="7"/>
      <c r="F47" s="5" t="str">
        <f>A35 &amp; "|" &amp; C47 &amp; "|" &amp; B47</f>
        <v>ПЕЧАТЬ ФОТО|1 шт|Полароид</v>
      </c>
    </row>
    <row r="48" spans="1:6" ht="18.75" customHeight="1" thickBot="1">
      <c r="A48" s="45" t="s">
        <v>69</v>
      </c>
      <c r="B48" s="52" t="s">
        <v>70</v>
      </c>
      <c r="C48" s="9" t="s">
        <v>71</v>
      </c>
      <c r="D48" s="9">
        <v>330</v>
      </c>
      <c r="E48" s="8" t="s">
        <v>72</v>
      </c>
      <c r="F48" s="5" t="str">
        <f>A48 &amp; "|" &amp; C48 &amp; "|" &amp; B48</f>
        <v>ФОТО НА ДОКУМЕНТЫ|2 шт|3х4/3.5х4.5</v>
      </c>
    </row>
    <row r="49" spans="1:6" ht="15.75" thickBot="1">
      <c r="A49" s="51"/>
      <c r="B49" s="53"/>
      <c r="C49" s="9" t="s">
        <v>76</v>
      </c>
      <c r="D49" s="9">
        <v>380</v>
      </c>
      <c r="E49" s="8"/>
      <c r="F49" s="5" t="str">
        <f>A48 &amp; "|" &amp; C49 &amp; "|" &amp; B48</f>
        <v>ФОТО НА ДОКУМЕНТЫ|4 шт|3х4/3.5х4.5</v>
      </c>
    </row>
    <row r="50" spans="1:6" ht="15.75" thickBot="1">
      <c r="A50" s="51"/>
      <c r="B50" s="54"/>
      <c r="C50" s="9" t="s">
        <v>77</v>
      </c>
      <c r="D50" s="9">
        <v>440</v>
      </c>
      <c r="E50" s="8" t="s">
        <v>73</v>
      </c>
      <c r="F50" s="5" t="str">
        <f>A48 &amp; "|" &amp; C50 &amp; "|" &amp; B48</f>
        <v>ФОТО НА ДОКУМЕНТЫ|6 шт|3х4/3.5х4.5</v>
      </c>
    </row>
    <row r="51" spans="1:6" ht="30.75" thickBot="1">
      <c r="A51" s="51"/>
      <c r="B51" s="52" t="s">
        <v>78</v>
      </c>
      <c r="C51" s="9" t="s">
        <v>71</v>
      </c>
      <c r="D51" s="9">
        <v>380</v>
      </c>
      <c r="E51" s="8" t="s">
        <v>74</v>
      </c>
      <c r="F51" s="5" t="str">
        <f>A48 &amp; "|" &amp; C51  &amp; "|" &amp; B48 &amp; "|" &amp; E51</f>
        <v>ФОТО НА ДОКУМЕНТЫ|2 шт|3х4/3.5х4.5|2 шт  +70 руб.</v>
      </c>
    </row>
    <row r="52" spans="1:6" ht="15.75" thickBot="1">
      <c r="A52" s="51"/>
      <c r="B52" s="53"/>
      <c r="C52" s="9" t="s">
        <v>76</v>
      </c>
      <c r="D52" s="9">
        <v>440</v>
      </c>
      <c r="E52" s="8" t="s">
        <v>75</v>
      </c>
      <c r="F52" s="5" t="str">
        <f>A48 &amp; "|" &amp; C53 &amp; "|" &amp; B48 &amp; "|" &amp; E53</f>
        <v>ФОТО НА ДОКУМЕНТЫ|6 шт|3х4/3.5х4.5|</v>
      </c>
    </row>
    <row r="53" spans="1:6" ht="15.75" thickBot="1">
      <c r="A53" s="51"/>
      <c r="B53" s="54"/>
      <c r="C53" s="9" t="s">
        <v>77</v>
      </c>
      <c r="D53" s="9">
        <v>500</v>
      </c>
      <c r="E53" s="15"/>
      <c r="F53" s="5" t="str">
        <f>A48 &amp; "|" &amp; C53 &amp; "|" &amp; B48</f>
        <v>ФОТО НА ДОКУМЕНТЫ|6 шт|3х4/3.5х4.5</v>
      </c>
    </row>
    <row r="54" spans="1:6" ht="15.75" thickBot="1">
      <c r="A54" s="51"/>
      <c r="B54" s="52" t="s">
        <v>79</v>
      </c>
      <c r="C54" s="9" t="s">
        <v>71</v>
      </c>
      <c r="D54" s="9">
        <v>380</v>
      </c>
      <c r="E54" s="15"/>
      <c r="F54" s="5" t="str">
        <f>A48 &amp; "|" &amp; C54 &amp; "|" &amp; B54</f>
        <v>ФОТО НА ДОКУМЕНТЫ|2 шт|5х5</v>
      </c>
    </row>
    <row r="55" spans="1:6" ht="15.75" thickBot="1">
      <c r="A55" s="51"/>
      <c r="B55" s="53"/>
      <c r="C55" s="9" t="s">
        <v>76</v>
      </c>
      <c r="D55" s="9">
        <v>440</v>
      </c>
      <c r="E55" s="15"/>
      <c r="F55" s="5" t="str">
        <f>A48 &amp; "|" &amp; C55 &amp; "|" &amp; B54</f>
        <v>ФОТО НА ДОКУМЕНТЫ|4 шт|5х5</v>
      </c>
    </row>
    <row r="56" spans="1:6" ht="15.75" thickBot="1">
      <c r="A56" s="46"/>
      <c r="B56" s="54"/>
      <c r="C56" s="9" t="s">
        <v>6</v>
      </c>
      <c r="D56" s="9"/>
      <c r="E56" s="16"/>
    </row>
    <row r="57" spans="1:6" ht="15.75" thickBot="1">
      <c r="A57" s="13"/>
      <c r="B57" s="9" t="s">
        <v>80</v>
      </c>
      <c r="C57" s="9" t="s">
        <v>12</v>
      </c>
      <c r="D57" s="9">
        <v>380</v>
      </c>
      <c r="E57" s="9"/>
      <c r="F57" s="5" t="str">
        <f>A48 &amp; "|" &amp; C57 &amp; "|" &amp; B57</f>
        <v>ФОТО НА ДОКУМЕНТЫ|1 шт|9х12</v>
      </c>
    </row>
    <row r="58" spans="1:6" ht="15.75" thickBot="1">
      <c r="A58" s="47" t="s">
        <v>81</v>
      </c>
      <c r="B58" s="11" t="s">
        <v>82</v>
      </c>
      <c r="C58" s="11" t="s">
        <v>6</v>
      </c>
      <c r="D58" s="11">
        <v>70</v>
      </c>
      <c r="E58" s="11"/>
      <c r="F58" s="5" t="str">
        <f>A58 &amp; "|" &amp; C58 &amp; "|" &amp; B58</f>
        <v>ФОТО В ЭЛ. ВИДЕ|-|С распечаткой</v>
      </c>
    </row>
    <row r="59" spans="1:6" ht="15.75" thickBot="1">
      <c r="A59" s="48"/>
      <c r="B59" s="11" t="s">
        <v>83</v>
      </c>
      <c r="C59" s="11" t="s">
        <v>6</v>
      </c>
      <c r="D59" s="11">
        <v>380</v>
      </c>
      <c r="E59" s="11"/>
      <c r="F59" s="5" t="str">
        <f>A58 &amp; "|" &amp; C59 &amp; "|" &amp; B59</f>
        <v>ФОТО В ЭЛ. ВИДЕ|-|Без распечатки</v>
      </c>
    </row>
    <row r="60" spans="1:6" ht="15.75" thickBot="1">
      <c r="A60" s="12" t="s">
        <v>84</v>
      </c>
      <c r="B60" s="7" t="s">
        <v>6</v>
      </c>
      <c r="C60" s="7" t="s">
        <v>12</v>
      </c>
      <c r="D60" s="7">
        <v>33</v>
      </c>
      <c r="E60" s="7"/>
      <c r="F60" s="5" t="str">
        <f>A60 &amp; "|" &amp; C60 &amp; "|" &amp; E60</f>
        <v>КАДРИРОВАНИЕ|1 шт|</v>
      </c>
    </row>
    <row r="61" spans="1:6" ht="15.75" thickBot="1">
      <c r="A61" s="13" t="s">
        <v>85</v>
      </c>
      <c r="B61" s="9" t="s">
        <v>6</v>
      </c>
      <c r="C61" s="9" t="s">
        <v>12</v>
      </c>
      <c r="D61" s="9">
        <v>500</v>
      </c>
      <c r="E61" s="9" t="s">
        <v>86</v>
      </c>
      <c r="F61" s="5" t="str">
        <f>A61 &amp; "|" &amp; C61 &amp; "|" &amp; E61</f>
        <v>ИЗГОТОВЛЕНИЕ МАКЕТА|1 шт|Сложные дороже.</v>
      </c>
    </row>
    <row r="62" spans="1:6" ht="15.75" thickBot="1">
      <c r="A62" s="47" t="s">
        <v>87</v>
      </c>
      <c r="B62" s="11" t="s">
        <v>88</v>
      </c>
      <c r="C62" s="11" t="s">
        <v>12</v>
      </c>
      <c r="D62" s="11">
        <v>25</v>
      </c>
      <c r="E62" s="11"/>
      <c r="F62" s="5" t="str">
        <f>A62 &amp; "|" &amp; C62 &amp; "|" &amp; B62</f>
        <v>3D СТИКЕР|1 шт|Прямоугольный</v>
      </c>
    </row>
    <row r="63" spans="1:6" ht="15.75" thickBot="1">
      <c r="A63" s="55"/>
      <c r="B63" s="11" t="s">
        <v>89</v>
      </c>
      <c r="C63" s="11" t="s">
        <v>12</v>
      </c>
      <c r="D63" s="11">
        <v>120</v>
      </c>
      <c r="E63" s="11"/>
      <c r="F63" s="5" t="str">
        <f>A62 &amp; "|" &amp; C63 &amp; "|" &amp; B63</f>
        <v>3D СТИКЕР|1 шт|Квадратный</v>
      </c>
    </row>
    <row r="64" spans="1:6" ht="15.75" thickBot="1">
      <c r="A64" s="48"/>
      <c r="B64" s="11" t="s">
        <v>90</v>
      </c>
      <c r="C64" s="11" t="s">
        <v>12</v>
      </c>
      <c r="D64" s="11">
        <v>275</v>
      </c>
      <c r="E64" s="11"/>
      <c r="F64" s="5" t="str">
        <f>A62 &amp; "|" &amp; C64 &amp; "|" &amp; B64</f>
        <v>3D СТИКЕР|1 шт|Большой</v>
      </c>
    </row>
    <row r="65" spans="1:6" ht="15.75" thickBot="1">
      <c r="A65" s="12" t="s">
        <v>91</v>
      </c>
      <c r="B65" s="7"/>
      <c r="C65" s="7" t="s">
        <v>12</v>
      </c>
      <c r="D65" s="7">
        <v>11</v>
      </c>
      <c r="E65" s="7"/>
      <c r="F65" s="5" t="str">
        <f>A65 &amp; "|" &amp; C65 &amp; "|" &amp; E65</f>
        <v>ФАЙЛ|1 шт|</v>
      </c>
    </row>
    <row r="66" spans="1:6" ht="15.75" thickBot="1">
      <c r="A66" s="13" t="s">
        <v>92</v>
      </c>
      <c r="B66" s="9"/>
      <c r="C66" s="9" t="s">
        <v>12</v>
      </c>
      <c r="D66" s="9">
        <v>11</v>
      </c>
      <c r="E66" s="9"/>
      <c r="F66" s="5" t="str">
        <f>A66 &amp; "|" &amp; C66 &amp; "|" &amp; E66</f>
        <v>ЧИСТЫЙ ЛИСТ А4|1 шт|</v>
      </c>
    </row>
    <row r="67" spans="1:6" ht="15.75" thickBot="1">
      <c r="A67" s="10" t="s">
        <v>93</v>
      </c>
      <c r="B67" s="11"/>
      <c r="C67" s="11" t="s">
        <v>12</v>
      </c>
      <c r="D67" s="11">
        <v>533</v>
      </c>
      <c r="E67" s="11"/>
      <c r="F67" s="5" t="str">
        <f>A67 &amp; "|" &amp; C67 &amp; "|" &amp; E67</f>
        <v>ПАЧКА БУМАГИ А4|1 шт|</v>
      </c>
    </row>
    <row r="68" spans="1:6" ht="15.75" thickBot="1">
      <c r="A68" s="12" t="s">
        <v>94</v>
      </c>
      <c r="B68" s="7"/>
      <c r="C68" s="7" t="s">
        <v>12</v>
      </c>
      <c r="D68" s="7">
        <v>55</v>
      </c>
      <c r="E68" s="7"/>
      <c r="F68" s="5" t="str">
        <f>A68 &amp; "|" &amp; C68 &amp; "|" &amp; E68</f>
        <v>ПАПКА СКОРОСШИВАТЕЛЬ А4 ПЛАСТ.|1 шт|</v>
      </c>
    </row>
    <row r="69" spans="1:6" ht="59.25" customHeight="1" thickBot="1">
      <c r="A69" s="45" t="s">
        <v>95</v>
      </c>
      <c r="B69" s="9" t="s">
        <v>96</v>
      </c>
      <c r="C69" s="9" t="s">
        <v>12</v>
      </c>
      <c r="D69" s="9">
        <v>330</v>
      </c>
      <c r="E69" s="9"/>
      <c r="F69" s="5" t="str">
        <f>A69 &amp; "|" &amp; C69 &amp; "|" &amp; B69</f>
        <v>ФОТО РАМКА (КАНАДСКАЯ СОСНА)|1 шт|15х21</v>
      </c>
    </row>
    <row r="70" spans="1:6" ht="15.75" thickBot="1">
      <c r="A70" s="46"/>
      <c r="B70" s="9" t="s">
        <v>97</v>
      </c>
      <c r="C70" s="9" t="s">
        <v>12</v>
      </c>
      <c r="D70" s="9">
        <v>423</v>
      </c>
      <c r="E70" s="9"/>
      <c r="F70" s="5" t="str">
        <f>A69 &amp; "|" &amp; C70 &amp; "|" &amp; B69</f>
        <v>ФОТО РАМКА (КАНАДСКАЯ СОСНА)|1 шт|15х21</v>
      </c>
    </row>
    <row r="71" spans="1:6" ht="15.75" thickBot="1">
      <c r="A71" s="10" t="s">
        <v>98</v>
      </c>
      <c r="B71" s="11" t="s">
        <v>97</v>
      </c>
      <c r="C71" s="11" t="s">
        <v>12</v>
      </c>
      <c r="D71" s="11">
        <v>423</v>
      </c>
      <c r="E71" s="11"/>
      <c r="F71" s="5" t="str">
        <f>A71 &amp; "|" &amp; C71 &amp; "|" &amp; B71</f>
        <v>ФОТО РАМКА  (БРОНЗА/СТЕКЛО)|1 шт|21х30</v>
      </c>
    </row>
    <row r="72" spans="1:6" ht="15.75" thickBot="1">
      <c r="A72" s="12" t="s">
        <v>99</v>
      </c>
      <c r="B72" s="7" t="s">
        <v>100</v>
      </c>
      <c r="C72" s="7" t="s">
        <v>12</v>
      </c>
      <c r="D72" s="7">
        <v>220</v>
      </c>
      <c r="E72" s="7"/>
      <c r="F72" s="5" t="str">
        <f>A72 &amp; "|" &amp; C72 &amp; "|" &amp; B72</f>
        <v>ФОТО РАМКА|1 шт|10х15</v>
      </c>
    </row>
    <row r="73" spans="1:6" ht="15.75" thickBot="1">
      <c r="A73" s="45" t="s">
        <v>101</v>
      </c>
      <c r="B73" s="20" t="s">
        <v>152</v>
      </c>
      <c r="C73" s="9" t="s">
        <v>12</v>
      </c>
      <c r="D73" s="9">
        <v>28</v>
      </c>
      <c r="E73" s="9"/>
      <c r="F73" s="5" t="str">
        <f>A73 &amp; "|" &amp; C73 &amp; "|" &amp; B73</f>
        <v>РУЧКА|1 шт|Масляная</v>
      </c>
    </row>
    <row r="74" spans="1:6" ht="15.75" thickBot="1">
      <c r="A74" s="46"/>
      <c r="B74" s="9" t="s">
        <v>102</v>
      </c>
      <c r="C74" s="9" t="s">
        <v>12</v>
      </c>
      <c r="D74" s="9">
        <v>38</v>
      </c>
      <c r="E74" s="9"/>
      <c r="F74" s="5" t="str">
        <f>A73 &amp; "|" &amp; C74 &amp; "|" &amp; B74</f>
        <v>РУЧКА|1 шт|Гелевая</v>
      </c>
    </row>
    <row r="75" spans="1:6" ht="15.75" thickBot="1">
      <c r="A75" s="10" t="s">
        <v>103</v>
      </c>
      <c r="B75" s="11"/>
      <c r="C75" s="11" t="s">
        <v>12</v>
      </c>
      <c r="D75" s="11">
        <v>33</v>
      </c>
      <c r="E75" s="11"/>
      <c r="F75" s="5" t="str">
        <f t="shared" ref="F75:F107" si="0">A75 &amp; "|" &amp; C75 &amp; "|" &amp; E75</f>
        <v>ПАПКА УГОЛОК|1 шт|</v>
      </c>
    </row>
    <row r="76" spans="1:6" ht="29.25" customHeight="1" thickBot="1">
      <c r="A76" s="42" t="s">
        <v>104</v>
      </c>
      <c r="B76" s="7" t="s">
        <v>8</v>
      </c>
      <c r="C76" s="7" t="s">
        <v>12</v>
      </c>
      <c r="D76" s="7">
        <v>88</v>
      </c>
      <c r="E76" s="7"/>
      <c r="F76" s="5" t="str">
        <f>A76 &amp; "|" &amp; C76 &amp; "|" &amp; B76</f>
        <v>ПАПКА НА КНОПКЕ|1 шт|А4</v>
      </c>
    </row>
    <row r="77" spans="1:6" ht="15.75" thickBot="1">
      <c r="A77" s="44"/>
      <c r="B77" s="7" t="s">
        <v>105</v>
      </c>
      <c r="C77" s="7" t="s">
        <v>12</v>
      </c>
      <c r="D77" s="7">
        <v>88</v>
      </c>
      <c r="E77" s="7"/>
      <c r="F77" s="5" t="str">
        <f>A76 &amp; "|" &amp; C77 &amp; "|" &amp; B77</f>
        <v>ПАПКА НА КНОПКЕ|1 шт|А5</v>
      </c>
    </row>
    <row r="78" spans="1:6" ht="15.75" thickBot="1">
      <c r="A78" s="13" t="s">
        <v>106</v>
      </c>
      <c r="B78" s="9"/>
      <c r="C78" s="9" t="s">
        <v>12</v>
      </c>
      <c r="D78" s="9">
        <v>11</v>
      </c>
      <c r="E78" s="9"/>
      <c r="F78" s="5" t="str">
        <f t="shared" si="0"/>
        <v>КОНВЕРТ CD/DVD|1 шт|</v>
      </c>
    </row>
    <row r="79" spans="1:6" ht="15.75" thickBot="1">
      <c r="A79" s="10" t="s">
        <v>107</v>
      </c>
      <c r="B79" s="11" t="s">
        <v>8</v>
      </c>
      <c r="C79" s="11" t="s">
        <v>12</v>
      </c>
      <c r="D79" s="11">
        <v>46</v>
      </c>
      <c r="E79" s="11"/>
      <c r="F79" s="5" t="str">
        <f>A79 &amp; "|" &amp; C79 &amp; "|" &amp; B79</f>
        <v>ПОЧТОВЫЙ КОНВЕРТ|1 шт|А4</v>
      </c>
    </row>
    <row r="80" spans="1:6" ht="15.75" thickBot="1">
      <c r="A80" s="42" t="s">
        <v>108</v>
      </c>
      <c r="B80" s="7" t="s">
        <v>6</v>
      </c>
      <c r="C80" s="7" t="s">
        <v>12</v>
      </c>
      <c r="D80" s="7">
        <v>118</v>
      </c>
      <c r="E80" s="7"/>
      <c r="F80" s="5" t="str">
        <f t="shared" si="0"/>
        <v>СКОТЧ|1 шт|</v>
      </c>
    </row>
    <row r="81" spans="1:6" ht="15.75" thickBot="1">
      <c r="A81" s="43"/>
      <c r="B81" s="7" t="s">
        <v>109</v>
      </c>
      <c r="C81" s="7" t="s">
        <v>12</v>
      </c>
      <c r="D81" s="7">
        <v>28</v>
      </c>
      <c r="E81" s="7"/>
      <c r="F81" s="5" t="str">
        <f>A80 &amp; "|" &amp; C81 &amp; "|" &amp; B81</f>
        <v>СКОТЧ|1 шт|Узкий</v>
      </c>
    </row>
    <row r="82" spans="1:6" ht="15.75" thickBot="1">
      <c r="A82" s="43"/>
      <c r="B82" s="7" t="s">
        <v>110</v>
      </c>
      <c r="C82" s="7" t="s">
        <v>12</v>
      </c>
      <c r="D82" s="7">
        <v>44</v>
      </c>
      <c r="E82" s="7"/>
      <c r="F82" s="5" t="str">
        <f>A80 &amp; "|" &amp; C82 &amp; "|" &amp; B82</f>
        <v>СКОТЧ|1 шт|Средний</v>
      </c>
    </row>
    <row r="83" spans="1:6" ht="15.75" thickBot="1">
      <c r="A83" s="44"/>
      <c r="B83" s="7" t="s">
        <v>111</v>
      </c>
      <c r="C83" s="7" t="s">
        <v>12</v>
      </c>
      <c r="D83" s="7">
        <v>82</v>
      </c>
      <c r="E83" s="7"/>
      <c r="F83" s="5" t="str">
        <f>A80 &amp; "|" &amp; C83 &amp; "|" &amp; B83</f>
        <v>СКОТЧ|1 шт|Широкий</v>
      </c>
    </row>
    <row r="84" spans="1:6" ht="15.75" thickBot="1">
      <c r="A84" s="13" t="s">
        <v>112</v>
      </c>
      <c r="B84" s="9"/>
      <c r="C84" s="9" t="s">
        <v>12</v>
      </c>
      <c r="D84" s="9">
        <v>66</v>
      </c>
      <c r="E84" s="9"/>
      <c r="F84" s="5" t="str">
        <f t="shared" si="0"/>
        <v>ФЛОМАСТЕР|1 шт|</v>
      </c>
    </row>
    <row r="85" spans="1:6" ht="15.75" thickBot="1">
      <c r="A85" s="10" t="s">
        <v>113</v>
      </c>
      <c r="B85" s="11"/>
      <c r="C85" s="11" t="s">
        <v>12</v>
      </c>
      <c r="D85" s="11">
        <v>110</v>
      </c>
      <c r="E85" s="11"/>
      <c r="F85" s="5" t="str">
        <f t="shared" si="0"/>
        <v>ОБЛОЖКА НА ПАСПОРТ|1 шт|</v>
      </c>
    </row>
    <row r="86" spans="1:6" ht="15.75" thickBot="1">
      <c r="A86" s="12" t="s">
        <v>114</v>
      </c>
      <c r="B86" s="7"/>
      <c r="C86" s="7" t="s">
        <v>12</v>
      </c>
      <c r="D86" s="7">
        <v>203</v>
      </c>
      <c r="E86" s="7"/>
      <c r="F86" s="5" t="str">
        <f t="shared" si="0"/>
        <v>ОБЛОЖКА ДИПЛОМНОЙ РАБОТЫ|1 шт|</v>
      </c>
    </row>
    <row r="87" spans="1:6" ht="15.75" thickBot="1">
      <c r="A87" s="13" t="s">
        <v>115</v>
      </c>
      <c r="B87" s="9"/>
      <c r="C87" s="9" t="s">
        <v>12</v>
      </c>
      <c r="D87" s="9">
        <v>171</v>
      </c>
      <c r="E87" s="9"/>
      <c r="F87" s="5" t="str">
        <f t="shared" si="0"/>
        <v>ОБЛОЖКА ДЛЯ СЪЁМНЫХ БЛОКОВ|1 шт|</v>
      </c>
    </row>
    <row r="88" spans="1:6" ht="15.75" thickBot="1">
      <c r="A88" s="10" t="s">
        <v>116</v>
      </c>
      <c r="B88" s="11"/>
      <c r="C88" s="11" t="s">
        <v>12</v>
      </c>
      <c r="D88" s="11">
        <v>33</v>
      </c>
      <c r="E88" s="11"/>
      <c r="F88" s="5" t="str">
        <f t="shared" si="0"/>
        <v>ПАПКА НА ЗАВЯЗКАХ (БУМАЖНАЯ)|1 шт|</v>
      </c>
    </row>
    <row r="89" spans="1:6" ht="15.75" thickBot="1">
      <c r="A89" s="12" t="s">
        <v>117</v>
      </c>
      <c r="B89" s="7"/>
      <c r="C89" s="7" t="s">
        <v>12</v>
      </c>
      <c r="D89" s="7">
        <v>16</v>
      </c>
      <c r="E89" s="7"/>
      <c r="F89" s="5" t="str">
        <f t="shared" si="0"/>
        <v>ТЕТРАДЬ ШКОЛЬНАЯ|1 шт|</v>
      </c>
    </row>
    <row r="90" spans="1:6" ht="15.75" thickBot="1">
      <c r="A90" s="13" t="s">
        <v>118</v>
      </c>
      <c r="B90" s="9"/>
      <c r="C90" s="9" t="s">
        <v>12</v>
      </c>
      <c r="D90" s="9">
        <v>66</v>
      </c>
      <c r="E90" s="9"/>
      <c r="F90" s="5" t="str">
        <f t="shared" si="0"/>
        <v>КОНВЕРТ С МАРКОЙ|1 шт|</v>
      </c>
    </row>
    <row r="91" spans="1:6" ht="15.75" thickBot="1">
      <c r="A91" s="10" t="s">
        <v>119</v>
      </c>
      <c r="B91" s="11"/>
      <c r="C91" s="11" t="s">
        <v>12</v>
      </c>
      <c r="D91" s="11">
        <v>33</v>
      </c>
      <c r="E91" s="11"/>
      <c r="F91" s="5" t="str">
        <f t="shared" si="0"/>
        <v>КОНВЕРТ А5|1 шт|</v>
      </c>
    </row>
    <row r="92" spans="1:6" ht="15.75" thickBot="1">
      <c r="A92" s="12" t="s">
        <v>120</v>
      </c>
      <c r="B92" s="7"/>
      <c r="C92" s="7" t="s">
        <v>12</v>
      </c>
      <c r="D92" s="7">
        <v>60</v>
      </c>
      <c r="E92" s="7"/>
      <c r="F92" s="5" t="str">
        <f t="shared" si="0"/>
        <v>КОНВЕРТ (ПОД БАБЛИШКО)|1 шт|</v>
      </c>
    </row>
    <row r="93" spans="1:6" ht="15.75" thickBot="1">
      <c r="A93" s="13" t="s">
        <v>121</v>
      </c>
      <c r="B93" s="9"/>
      <c r="C93" s="9" t="s">
        <v>12</v>
      </c>
      <c r="D93" s="9">
        <v>385</v>
      </c>
      <c r="E93" s="9"/>
      <c r="F93" s="5" t="str">
        <f t="shared" si="0"/>
        <v>ПОДАРОЧНЫЙ НАБОР|1 шт|</v>
      </c>
    </row>
    <row r="94" spans="1:6" ht="15.75" thickBot="1">
      <c r="A94" s="47" t="s">
        <v>122</v>
      </c>
      <c r="B94" s="11" t="s">
        <v>123</v>
      </c>
      <c r="C94" s="11" t="s">
        <v>12</v>
      </c>
      <c r="D94" s="11">
        <v>242</v>
      </c>
      <c r="E94" s="11"/>
      <c r="F94" s="5" t="str">
        <f>A94 &amp; "|" &amp; C94 &amp; "|" &amp; B94</f>
        <v>СТЕПЛЕР (МЕТАЛ)|1 шт|Красный</v>
      </c>
    </row>
    <row r="95" spans="1:6" ht="15.75" thickBot="1">
      <c r="A95" s="48"/>
      <c r="B95" s="11" t="s">
        <v>124</v>
      </c>
      <c r="C95" s="11" t="s">
        <v>12</v>
      </c>
      <c r="D95" s="11">
        <v>320</v>
      </c>
      <c r="E95" s="11"/>
      <c r="F95" s="5" t="str">
        <f>A95 &amp; "|" &amp; C95 &amp; "|" &amp; B95</f>
        <v>|1 шт|Чёрный</v>
      </c>
    </row>
    <row r="96" spans="1:6" ht="15.75" thickBot="1">
      <c r="A96" s="12" t="s">
        <v>125</v>
      </c>
      <c r="B96" s="7" t="s">
        <v>126</v>
      </c>
      <c r="C96" s="7" t="s">
        <v>12</v>
      </c>
      <c r="D96" s="7">
        <v>60</v>
      </c>
      <c r="E96" s="7"/>
      <c r="F96" s="5" t="str">
        <f>A96 &amp; "|" &amp; C96 &amp; "|" &amp; B96</f>
        <v>ЛИНЕЙКИ|1 шт|Пластик</v>
      </c>
    </row>
    <row r="97" spans="1:6" ht="15.75" thickBot="1">
      <c r="A97" s="13" t="s">
        <v>127</v>
      </c>
      <c r="B97" s="9"/>
      <c r="C97" s="9" t="s">
        <v>12</v>
      </c>
      <c r="D97" s="9">
        <v>71</v>
      </c>
      <c r="E97" s="9"/>
      <c r="F97" s="5" t="str">
        <f t="shared" si="0"/>
        <v>СКОБЫ 24/6|1 шт|</v>
      </c>
    </row>
    <row r="98" spans="1:6" ht="15.75" thickBot="1">
      <c r="A98" s="10" t="s">
        <v>128</v>
      </c>
      <c r="B98" s="11"/>
      <c r="C98" s="11" t="s">
        <v>12</v>
      </c>
      <c r="D98" s="11">
        <v>60</v>
      </c>
      <c r="E98" s="11"/>
      <c r="F98" s="5" t="str">
        <f t="shared" si="0"/>
        <v>СКРЕПКИ|1 шт|</v>
      </c>
    </row>
    <row r="99" spans="1:6" ht="15.75" thickBot="1">
      <c r="A99" s="12" t="s">
        <v>129</v>
      </c>
      <c r="B99" s="7"/>
      <c r="C99" s="7" t="s">
        <v>12</v>
      </c>
      <c r="D99" s="7">
        <v>93</v>
      </c>
      <c r="E99" s="7"/>
      <c r="F99" s="5" t="str">
        <f t="shared" si="0"/>
        <v>ЛИП. ЗАКЛАДКИ|1 шт|</v>
      </c>
    </row>
    <row r="100" spans="1:6" ht="15.75" thickBot="1">
      <c r="A100" s="13" t="s">
        <v>130</v>
      </c>
      <c r="B100" s="9"/>
      <c r="C100" s="9" t="s">
        <v>12</v>
      </c>
      <c r="D100" s="9">
        <v>44</v>
      </c>
      <c r="E100" s="9"/>
      <c r="F100" s="5" t="str">
        <f t="shared" si="0"/>
        <v>КАНЦЕЛЯРСКИЙ НОЖ|1 шт|</v>
      </c>
    </row>
    <row r="101" spans="1:6" ht="15.75" thickBot="1">
      <c r="A101" s="10" t="s">
        <v>131</v>
      </c>
      <c r="B101" s="11"/>
      <c r="C101" s="11" t="s">
        <v>12</v>
      </c>
      <c r="D101" s="11">
        <v>71</v>
      </c>
      <c r="E101" s="11"/>
      <c r="F101" s="5" t="str">
        <f t="shared" si="0"/>
        <v>ТОЧИЛКА ДЛЯ КАРАНДАША|1 шт|</v>
      </c>
    </row>
    <row r="102" spans="1:6" ht="15.75" thickBot="1">
      <c r="A102" s="12" t="s">
        <v>132</v>
      </c>
      <c r="B102" s="7" t="s">
        <v>133</v>
      </c>
      <c r="C102" s="7" t="s">
        <v>12</v>
      </c>
      <c r="D102" s="7">
        <v>71</v>
      </c>
      <c r="E102" s="7"/>
      <c r="F102" s="5" t="str">
        <f>A102 &amp; "|" &amp; C102 &amp; "|" &amp; B102</f>
        <v>КАРАНДАШИ|1 шт|Цветные</v>
      </c>
    </row>
    <row r="103" spans="1:6" ht="15.75" thickBot="1">
      <c r="A103" s="13" t="s">
        <v>134</v>
      </c>
      <c r="B103" s="9"/>
      <c r="C103" s="9" t="s">
        <v>12</v>
      </c>
      <c r="D103" s="9">
        <v>22</v>
      </c>
      <c r="E103" s="9"/>
      <c r="F103" s="5" t="str">
        <f t="shared" si="0"/>
        <v>КАНЦЕЛЯРСКИЕ ЗАЖИМЫ|1 шт|</v>
      </c>
    </row>
    <row r="104" spans="1:6" ht="15.75" thickBot="1">
      <c r="A104" s="10" t="s">
        <v>135</v>
      </c>
      <c r="B104" s="11" t="s">
        <v>133</v>
      </c>
      <c r="C104" s="11" t="s">
        <v>12</v>
      </c>
      <c r="D104" s="11">
        <v>148</v>
      </c>
      <c r="E104" s="11"/>
      <c r="F104" s="5" t="str">
        <f>A104 &amp; "|" &amp; C104 &amp; "|" &amp; B104</f>
        <v>БУЛАВКИ (ФЛАЖКИ)|1 шт|Цветные</v>
      </c>
    </row>
    <row r="105" spans="1:6" ht="15.75" thickBot="1">
      <c r="A105" s="12" t="s">
        <v>136</v>
      </c>
      <c r="B105" s="7"/>
      <c r="C105" s="7" t="s">
        <v>12</v>
      </c>
      <c r="D105" s="7">
        <v>50</v>
      </c>
      <c r="E105" s="7"/>
      <c r="F105" s="5" t="str">
        <f t="shared" si="0"/>
        <v>КАНЦЕЛЯРСКИЕ КНОПКИ|1 шт|</v>
      </c>
    </row>
    <row r="106" spans="1:6" ht="15.75" thickBot="1">
      <c r="A106" s="13" t="s">
        <v>137</v>
      </c>
      <c r="B106" s="9"/>
      <c r="C106" s="9" t="s">
        <v>12</v>
      </c>
      <c r="D106" s="9">
        <v>50</v>
      </c>
      <c r="E106" s="9"/>
      <c r="F106" s="5" t="str">
        <f t="shared" si="0"/>
        <v>ОФИСНЫЕ БУЛАВКИ|1 шт|</v>
      </c>
    </row>
    <row r="107" spans="1:6" ht="15.75" thickBot="1">
      <c r="A107" s="10" t="s">
        <v>138</v>
      </c>
      <c r="B107" s="11"/>
      <c r="C107" s="11" t="s">
        <v>12</v>
      </c>
      <c r="D107" s="11">
        <v>50</v>
      </c>
      <c r="E107" s="11"/>
      <c r="F107" s="5" t="str">
        <f t="shared" si="0"/>
        <v>ТОВАРНЫЙ ЧЕК|1 шт|</v>
      </c>
    </row>
    <row r="108" spans="1:6" ht="15.75" thickBot="1">
      <c r="A108" s="42" t="s">
        <v>139</v>
      </c>
      <c r="B108" s="7" t="s">
        <v>140</v>
      </c>
      <c r="C108" s="7" t="s">
        <v>12</v>
      </c>
      <c r="D108" s="7">
        <v>120</v>
      </c>
      <c r="E108" s="7"/>
      <c r="F108" s="5" t="str">
        <f>A108 &amp; "|" &amp; C108 &amp; "|" &amp; B108</f>
        <v>ЛИПКИЙ БЛОК|1 шт|75х75</v>
      </c>
    </row>
    <row r="109" spans="1:6" ht="15.75" thickBot="1">
      <c r="A109" s="44"/>
      <c r="B109" s="7" t="s">
        <v>141</v>
      </c>
      <c r="C109" s="7" t="s">
        <v>12</v>
      </c>
      <c r="D109" s="7">
        <v>170</v>
      </c>
      <c r="E109" s="7"/>
      <c r="F109" s="5" t="str">
        <f>A108 &amp; "|" &amp; C109 &amp; "|" &amp; B109</f>
        <v>ЛИПКИЙ БЛОК|1 шт|75х120</v>
      </c>
    </row>
    <row r="110" spans="1:6" ht="15.75" thickBot="1">
      <c r="A110" s="45" t="s">
        <v>142</v>
      </c>
      <c r="B110" s="9" t="s">
        <v>143</v>
      </c>
      <c r="C110" s="9" t="s">
        <v>12</v>
      </c>
      <c r="D110" s="9">
        <v>160</v>
      </c>
      <c r="E110" s="9"/>
      <c r="F110" s="5" t="str">
        <f>A110 &amp; "|" &amp; C110 &amp; "|" &amp; B110</f>
        <v>ФОТОАЛЬБОМ|1 шт|36 Фото</v>
      </c>
    </row>
    <row r="111" spans="1:6" ht="15.75" thickBot="1">
      <c r="A111" s="46"/>
      <c r="B111" s="9" t="s">
        <v>144</v>
      </c>
      <c r="C111" s="9" t="s">
        <v>12</v>
      </c>
      <c r="D111" s="9">
        <v>396</v>
      </c>
      <c r="E111" s="9"/>
      <c r="F111" s="5" t="str">
        <f>A110 &amp; "|" &amp; C111 &amp; "|" &amp; B111</f>
        <v>ФОТОАЛЬБОМ|1 шт|100 фото</v>
      </c>
    </row>
    <row r="112" spans="1:6" ht="15.75" thickBot="1">
      <c r="A112" s="17"/>
      <c r="B112" s="18"/>
      <c r="C112" s="18"/>
      <c r="D112" s="18"/>
      <c r="E112" s="18"/>
    </row>
    <row r="113" spans="1:1">
      <c r="A113" s="19"/>
    </row>
  </sheetData>
  <mergeCells count="26">
    <mergeCell ref="A58:A59"/>
    <mergeCell ref="A108:A109"/>
    <mergeCell ref="A110:A111"/>
    <mergeCell ref="A62:A64"/>
    <mergeCell ref="A69:A70"/>
    <mergeCell ref="A73:A74"/>
    <mergeCell ref="A76:A77"/>
    <mergeCell ref="A80:A83"/>
    <mergeCell ref="A94:A95"/>
    <mergeCell ref="A30:A33"/>
    <mergeCell ref="E30:E33"/>
    <mergeCell ref="A35:A47"/>
    <mergeCell ref="A48:A56"/>
    <mergeCell ref="B48:B50"/>
    <mergeCell ref="B51:B53"/>
    <mergeCell ref="B54:B56"/>
    <mergeCell ref="A16:A18"/>
    <mergeCell ref="A19:A20"/>
    <mergeCell ref="A23:A24"/>
    <mergeCell ref="A25:A26"/>
    <mergeCell ref="A27:A29"/>
    <mergeCell ref="A2:A4"/>
    <mergeCell ref="A5:A6"/>
    <mergeCell ref="A10:A11"/>
    <mergeCell ref="B10:B11"/>
    <mergeCell ref="A14:A15"/>
  </mergeCells>
  <conditionalFormatting sqref="F48:F56">
    <cfRule type="uniqueValues" dxfId="1" priority="2"/>
    <cfRule type="duplicateValues" dxfId="0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E18"/>
  <sheetViews>
    <sheetView tabSelected="1" zoomScale="175" zoomScaleNormal="175" workbookViewId="0">
      <pane ySplit="1" topLeftCell="A5" activePane="bottomLeft" state="frozen"/>
      <selection pane="bottomLeft" activeCell="A9" sqref="A9"/>
    </sheetView>
  </sheetViews>
  <sheetFormatPr defaultRowHeight="15"/>
  <cols>
    <col min="1" max="1" width="31.85546875" customWidth="1"/>
    <col min="2" max="2" width="30.140625" hidden="1" customWidth="1"/>
    <col min="3" max="3" width="14.28515625" customWidth="1"/>
    <col min="4" max="4" width="9.42578125" customWidth="1"/>
    <col min="5" max="5" width="11.85546875" customWidth="1"/>
  </cols>
  <sheetData>
    <row r="1" spans="1:5" ht="29.25" customHeight="1">
      <c r="A1" s="24" t="s">
        <v>145</v>
      </c>
      <c r="B1" s="25" t="s">
        <v>153</v>
      </c>
      <c r="C1" s="26" t="s">
        <v>146</v>
      </c>
      <c r="D1" s="26" t="s">
        <v>147</v>
      </c>
      <c r="E1" s="24" t="s">
        <v>148</v>
      </c>
    </row>
    <row r="2" spans="1:5">
      <c r="A2" s="2"/>
      <c r="B2" s="21"/>
      <c r="D2" s="1">
        <f>IFERROR(INDEX(Прайс!D:D, MATCH(A2, Прайс!F:F, 0)), 0)</f>
        <v>0</v>
      </c>
      <c r="E2" t="str">
        <f>IF(A2="", "", C2*D2)</f>
        <v/>
      </c>
    </row>
    <row r="3" spans="1:5">
      <c r="A3" s="2"/>
      <c r="B3" s="21"/>
      <c r="D3" s="1">
        <f>IFERROR(INDEX(Прайс!D:D, MATCH(A3, Прайс!F:F, 0)), 0)</f>
        <v>0</v>
      </c>
      <c r="E3" t="str">
        <f t="shared" ref="E3:E16" si="0">IF(A3="", "", C3*D3)</f>
        <v/>
      </c>
    </row>
    <row r="4" spans="1:5">
      <c r="A4" s="2"/>
      <c r="B4" s="21"/>
      <c r="D4" s="1">
        <f>IFERROR(INDEX(Прайс!D:D, MATCH(A4, Прайс!F:F, 0)), 0)</f>
        <v>0</v>
      </c>
      <c r="E4" t="str">
        <f t="shared" si="0"/>
        <v/>
      </c>
    </row>
    <row r="5" spans="1:5">
      <c r="A5" s="2"/>
      <c r="B5" s="21"/>
      <c r="D5" s="1">
        <f>IFERROR(INDEX(Прайс!D:D, MATCH(A5, Прайс!F:F, 0)), 0)</f>
        <v>0</v>
      </c>
      <c r="E5" t="str">
        <f t="shared" si="0"/>
        <v/>
      </c>
    </row>
    <row r="6" spans="1:5">
      <c r="A6" s="28"/>
      <c r="B6" s="21"/>
      <c r="D6" s="1">
        <f>IFERROR(INDEX(Прайс!D:D, MATCH(A6, Прайс!F:F, 0)), 0)</f>
        <v>0</v>
      </c>
      <c r="E6" t="str">
        <f t="shared" si="0"/>
        <v/>
      </c>
    </row>
    <row r="7" spans="1:5">
      <c r="A7" s="2"/>
      <c r="B7" s="21"/>
      <c r="D7" s="1">
        <f>IFERROR(INDEX(Прайс!D:D, MATCH(A7, Прайс!F:F, 0)), 0)</f>
        <v>0</v>
      </c>
      <c r="E7" t="str">
        <f t="shared" si="0"/>
        <v/>
      </c>
    </row>
    <row r="8" spans="1:5">
      <c r="A8" s="2"/>
      <c r="B8" s="21"/>
      <c r="D8" s="1">
        <f>IFERROR(INDEX(Прайс!D:D, MATCH(A8, Прайс!F:F, 0)), 0)</f>
        <v>0</v>
      </c>
      <c r="E8" t="str">
        <f t="shared" si="0"/>
        <v/>
      </c>
    </row>
    <row r="9" spans="1:5">
      <c r="A9" s="2"/>
      <c r="B9" s="27"/>
      <c r="D9" s="1">
        <f>IFERROR(INDEX(Прайс!D:D, MATCH(A9, Прайс!F:F, 0)), 0)</f>
        <v>0</v>
      </c>
      <c r="E9" t="str">
        <f t="shared" si="0"/>
        <v/>
      </c>
    </row>
    <row r="10" spans="1:5">
      <c r="A10" s="28"/>
      <c r="B10" s="21"/>
      <c r="D10" s="1">
        <f>IFERROR(INDEX(Прайс!D:D, MATCH(A10, Прайс!F:F, 0)), 0)</f>
        <v>0</v>
      </c>
      <c r="E10" t="str">
        <f t="shared" si="0"/>
        <v/>
      </c>
    </row>
    <row r="11" spans="1:5">
      <c r="A11" s="2"/>
      <c r="B11" s="21"/>
      <c r="D11" s="1">
        <f>IFERROR(INDEX(Прайс!D:D, MATCH(A11, Прайс!F:F, 0)), 0)</f>
        <v>0</v>
      </c>
      <c r="E11" t="str">
        <f t="shared" si="0"/>
        <v/>
      </c>
    </row>
    <row r="12" spans="1:5">
      <c r="A12" s="28"/>
      <c r="B12" s="21"/>
      <c r="D12" s="1">
        <f>IFERROR(INDEX(Прайс!D:D, MATCH(A12, Прайс!F:F, 0)), 0)</f>
        <v>0</v>
      </c>
      <c r="E12" t="str">
        <f t="shared" si="0"/>
        <v/>
      </c>
    </row>
    <row r="13" spans="1:5">
      <c r="A13" s="28"/>
      <c r="B13" s="27"/>
      <c r="D13" s="1">
        <f>IFERROR(INDEX(Прайс!D:D, MATCH(A13, Прайс!F:F, 0)), 0)</f>
        <v>0</v>
      </c>
      <c r="E13" t="str">
        <f t="shared" si="0"/>
        <v/>
      </c>
    </row>
    <row r="14" spans="1:5">
      <c r="A14" s="2"/>
      <c r="B14" s="29"/>
      <c r="D14" s="1">
        <f>IFERROR(INDEX(Прайс!D:D, MATCH(A14, Прайс!F:F, 0)), 0)</f>
        <v>0</v>
      </c>
      <c r="E14" t="str">
        <f t="shared" si="0"/>
        <v/>
      </c>
    </row>
    <row r="15" spans="1:5">
      <c r="A15" s="2"/>
      <c r="B15" s="21"/>
      <c r="D15" s="1">
        <f>IFERROR(INDEX(Прайс!D:D, MATCH(A15, Прайс!F:F, 0)), 0)</f>
        <v>0</v>
      </c>
      <c r="E15" t="str">
        <f t="shared" si="0"/>
        <v/>
      </c>
    </row>
    <row r="16" spans="1:5">
      <c r="A16" s="2"/>
      <c r="B16" s="21"/>
      <c r="D16" s="1">
        <f>IFERROR(INDEX(Прайс!D:D, MATCH(A16, Прайс!F:F, 0)), 0)</f>
        <v>0</v>
      </c>
      <c r="E16" t="str">
        <f t="shared" si="0"/>
        <v/>
      </c>
    </row>
    <row r="18" spans="2:5">
      <c r="B18" s="23"/>
      <c r="C18" s="23"/>
      <c r="D18">
        <v>0</v>
      </c>
      <c r="E18" s="22">
        <v>0</v>
      </c>
    </row>
  </sheetData>
  <dataValidations count="1">
    <dataValidation type="list" allowBlank="1" showInputMessage="1" showErrorMessage="1" sqref="A2:A4">
      <formula1>КЛЮЧ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control shapeId="1027" r:id="rId4" name="SearchBox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27"/>
  <sheetViews>
    <sheetView workbookViewId="0">
      <selection activeCell="C20" sqref="C20"/>
    </sheetView>
  </sheetViews>
  <sheetFormatPr defaultRowHeight="15"/>
  <cols>
    <col min="1" max="1" width="43.28515625" customWidth="1"/>
    <col min="2" max="2" width="20.42578125" customWidth="1"/>
    <col min="3" max="3" width="26.42578125" customWidth="1"/>
    <col min="4" max="4" width="14.7109375" customWidth="1"/>
    <col min="5" max="5" width="17.140625" customWidth="1"/>
    <col min="6" max="6" width="13.5703125" customWidth="1"/>
    <col min="7" max="7" width="14.28515625" customWidth="1"/>
    <col min="8" max="8" width="12.85546875" customWidth="1"/>
  </cols>
  <sheetData>
    <row r="1" spans="1:8">
      <c r="A1" s="56" t="s">
        <v>154</v>
      </c>
      <c r="B1" s="56"/>
      <c r="C1" s="57" t="s">
        <v>155</v>
      </c>
      <c r="D1" s="58"/>
      <c r="E1" s="57" t="s">
        <v>149</v>
      </c>
      <c r="F1" s="58"/>
      <c r="G1" s="57" t="s">
        <v>150</v>
      </c>
      <c r="H1" s="58"/>
    </row>
    <row r="2" spans="1:8" s="38" customFormat="1">
      <c r="A2" s="34"/>
      <c r="B2" s="35"/>
      <c r="C2" s="36"/>
      <c r="D2" s="37"/>
      <c r="E2" s="36"/>
      <c r="F2" s="37"/>
      <c r="G2" s="36"/>
      <c r="H2" s="37"/>
    </row>
    <row r="3" spans="1:8" s="38" customFormat="1">
      <c r="A3" s="39"/>
    </row>
    <row r="4" spans="1:8" s="38" customFormat="1">
      <c r="A4" s="39"/>
      <c r="B4" s="40"/>
    </row>
    <row r="5" spans="1:8" s="38" customFormat="1">
      <c r="A5" s="39"/>
      <c r="B5" s="40"/>
    </row>
    <row r="6" spans="1:8" s="38" customFormat="1">
      <c r="A6" s="41"/>
      <c r="B6" s="40"/>
    </row>
    <row r="7" spans="1:8" s="38" customFormat="1">
      <c r="A7" s="39"/>
      <c r="B7" s="40"/>
    </row>
    <row r="8" spans="1:8" s="38" customFormat="1">
      <c r="A8" s="39"/>
    </row>
    <row r="9" spans="1:8" s="38" customFormat="1">
      <c r="A9" s="39"/>
      <c r="B9" s="40"/>
    </row>
    <row r="10" spans="1:8" s="38" customFormat="1">
      <c r="A10" s="39"/>
    </row>
    <row r="11" spans="1:8" s="38" customFormat="1">
      <c r="A11" s="39"/>
    </row>
    <row r="12" spans="1:8" s="38" customFormat="1">
      <c r="A12" s="39"/>
    </row>
    <row r="13" spans="1:8" s="38" customFormat="1">
      <c r="A13" s="39"/>
      <c r="B13" s="40"/>
    </row>
    <row r="14" spans="1:8" s="38" customFormat="1">
      <c r="A14" s="39"/>
    </row>
    <row r="15" spans="1:8" s="38" customFormat="1">
      <c r="A15" s="39"/>
    </row>
    <row r="16" spans="1:8" s="38" customFormat="1">
      <c r="A16" s="41"/>
      <c r="B16" s="40"/>
    </row>
    <row r="17" spans="1:2" s="38" customFormat="1">
      <c r="A17" s="39"/>
    </row>
    <row r="18" spans="1:2" s="38" customFormat="1">
      <c r="A18" s="39"/>
      <c r="B18" s="40"/>
    </row>
    <row r="19" spans="1:2" s="38" customFormat="1">
      <c r="A19" s="39"/>
    </row>
    <row r="20" spans="1:2" s="38" customFormat="1">
      <c r="A20" s="39"/>
    </row>
    <row r="21" spans="1:2" s="30" customFormat="1">
      <c r="A21" s="32"/>
    </row>
    <row r="22" spans="1:2" s="30" customFormat="1">
      <c r="A22" s="32"/>
    </row>
    <row r="23" spans="1:2" s="30" customFormat="1">
      <c r="A23" s="31"/>
      <c r="B23" s="33"/>
    </row>
    <row r="24" spans="1:2" s="30" customFormat="1">
      <c r="A24" s="32"/>
    </row>
    <row r="25" spans="1:2" s="30" customFormat="1">
      <c r="A25" s="32"/>
    </row>
    <row r="26" spans="1:2" s="30" customFormat="1">
      <c r="A26" s="32"/>
    </row>
    <row r="27" spans="1:2" s="30" customFormat="1">
      <c r="A27" s="32"/>
    </row>
  </sheetData>
  <mergeCells count="4">
    <mergeCell ref="A1:B1"/>
    <mergeCell ref="C1:D1"/>
    <mergeCell ref="E1:F1"/>
    <mergeCell ref="G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Прайс</vt:lpstr>
      <vt:lpstr>Калькулятор</vt:lpstr>
      <vt:lpstr>Отчёт</vt:lpstr>
      <vt:lpstr>КЛЮЧ</vt:lpstr>
    </vt:vector>
  </TitlesOfParts>
  <Company>RePack by SPecialiST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Калькулятор прайса ФОТОН</dc:title>
  <dc:creator>Дмитрий Скородько</dc:creator>
  <cp:keywords>Прайс</cp:keywords>
  <cp:lastModifiedBy>Lusya</cp:lastModifiedBy>
  <dcterms:created xsi:type="dcterms:W3CDTF">2026-07-18T13:57:27Z</dcterms:created>
  <dcterms:modified xsi:type="dcterms:W3CDTF">2026-08-29T11:00:57Z</dcterms:modified>
</cp:coreProperties>
</file>